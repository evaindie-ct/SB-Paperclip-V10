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TC City Targeting" sheetId="1" r:id="rId4"/>
    <sheet state="visible" name="Seasonal Demand" sheetId="2" r:id="rId5"/>
    <sheet state="visible" name="Ad Budget Allocation" sheetId="3" r:id="rId6"/>
    <sheet state="visible" name="Population × Demand" sheetId="4" r:id="rId7"/>
    <sheet state="visible" name="Execution Checklist" sheetId="5" r:id="rId8"/>
  </sheets>
  <definedNames/>
  <calcPr/>
  <extLst>
    <ext uri="GoogleSheetsCustomDataVersion2">
      <go:sheetsCustomData xmlns:go="http://customooxmlschemas.google.com/" r:id="rId9" roundtripDataChecksum="rj4k94+mDLRzSACXF5zYOIKuj9CTinmaUykRJdwaI9U="/>
    </ext>
  </extLst>
</workbook>
</file>

<file path=xl/sharedStrings.xml><?xml version="1.0" encoding="utf-8"?>
<sst xmlns="http://schemas.openxmlformats.org/spreadsheetml/2006/main" count="650" uniqueCount="395">
  <si>
    <t>TIER</t>
  </si>
  <si>
    <t>COUNTRY</t>
  </si>
  <si>
    <t>CITY / METRO</t>
  </si>
  <si>
    <t>POPULATION (Metro)</t>
  </si>
  <si>
    <t>PURCHASING POWER INDEX</t>
  </si>
  <si>
    <t>€ PER CAPITA (NIQ 2025)</t>
  </si>
  <si>
    <t>COLD MONTHS (≤10°C)</t>
  </si>
  <si>
    <t>KNITWEAR DEMAND SCORE</t>
  </si>
  <si>
    <t>FASHION CONSCIOUS</t>
  </si>
  <si>
    <t>ONLINE SHOPPING MATURITY</t>
  </si>
  <si>
    <t>COMPOSITE SCORE</t>
  </si>
  <si>
    <t>META ADS PRIORITY</t>
  </si>
  <si>
    <t>MONTHLY AD BUDGET</t>
  </si>
  <si>
    <t>EXPECTED CPA (€)</t>
  </si>
  <si>
    <t>LANG</t>
  </si>
  <si>
    <t>META INTEREST TARGETING</t>
  </si>
  <si>
    <t>NOTES</t>
  </si>
  <si>
    <t>T1</t>
  </si>
  <si>
    <t>Switzerland</t>
  </si>
  <si>
    <t>Zurich metro</t>
  </si>
  <si>
    <t>1,400,000</t>
  </si>
  <si>
    <t>🔴 MAX</t>
  </si>
  <si>
    <t>€200</t>
  </si>
  <si>
    <t>€18-25</t>
  </si>
  <si>
    <t>DE / EN</t>
  </si>
  <si>
    <t>COS, Arket, Totême, Lisa Yang, Acne Studios, Kinfolk, Monocle, Cereal Magazine</t>
  </si>
  <si>
    <t>Richest large city in Europe. Peak target. Basel (184 PP) nearby.</t>
  </si>
  <si>
    <t>Geneva-Lausanne</t>
  </si>
  <si>
    <t>900,000</t>
  </si>
  <si>
    <t>€150</t>
  </si>
  <si>
    <t>€20-28</t>
  </si>
  <si>
    <t>FR / EN</t>
  </si>
  <si>
    <t>Same stack + Vogue Paris, Marie Claire</t>
  </si>
  <si>
    <t>French-speaking Swiss. Luxury appetite massive.</t>
  </si>
  <si>
    <t>Norway</t>
  </si>
  <si>
    <t>Oslo metro</t>
  </si>
  <si>
    <t>1,050,000</t>
  </si>
  <si>
    <t>€15-22</t>
  </si>
  <si>
    <t>NO / EN</t>
  </si>
  <si>
    <t>COS, &amp;Other Stories, Holzweiler, Norse Projects</t>
  </si>
  <si>
    <t>8 cold months. Knitwear is survival + fashion. Very high online spend.</t>
  </si>
  <si>
    <t>Germany</t>
  </si>
  <si>
    <t>Munich metro (Starnberg)</t>
  </si>
  <si>
    <t>2,900,000</t>
  </si>
  <si>
    <t>€12-18</t>
  </si>
  <si>
    <t>COS, Arket, Luisa Via Roma, Mytheresa, Lodenfrey</t>
  </si>
  <si>
    <t>Starnberg district = richest in Germany (€40,684 pp). Munich = fashion capital DE.</t>
  </si>
  <si>
    <t>Denmark</t>
  </si>
  <si>
    <t>Copenhagen metro</t>
  </si>
  <si>
    <t>1,350,000</t>
  </si>
  <si>
    <t>€125</t>
  </si>
  <si>
    <t>€14-20</t>
  </si>
  <si>
    <t>DA / EN</t>
  </si>
  <si>
    <t>Ganni, Stine Goya, Wood Wood, COS, Tekla</t>
  </si>
  <si>
    <t>Scandi fashion epicenter. Very high online maturity. Cold 7+ months.</t>
  </si>
  <si>
    <t>Hamburg metro</t>
  </si>
  <si>
    <t>2,100,000</t>
  </si>
  <si>
    <t>Manufactum, COS, Muji, Arket</t>
  </si>
  <si>
    <t>Blankenese/Eppendorf = extremely wealthy suburbs. Maritime cold climate.</t>
  </si>
  <si>
    <t>Düsseldorf metro</t>
  </si>
  <si>
    <t>1,600,000</t>
  </si>
  <si>
    <t>🟠 HIGH</t>
  </si>
  <si>
    <t>€100</t>
  </si>
  <si>
    <t>€12-16</t>
  </si>
  <si>
    <t>Apropos, Mytheresa, COS, Breuninger</t>
  </si>
  <si>
    <t>Königsallee = luxury retail street. High fashion density.</t>
  </si>
  <si>
    <t>Stuttgart metro</t>
  </si>
  <si>
    <t>2,800,000</t>
  </si>
  <si>
    <t>DE</t>
  </si>
  <si>
    <t>Breuninger, COS, Arket</t>
  </si>
  <si>
    <t>Wealthy industrial base (Porsche, Mercedes). Conservative but high spend.</t>
  </si>
  <si>
    <t>Frankfurt metro</t>
  </si>
  <si>
    <t>2,300,000</t>
  </si>
  <si>
    <t>Mytheresa, COS, Arket</t>
  </si>
  <si>
    <t>Banking wealth. International population. English-friendly.</t>
  </si>
  <si>
    <t>Bergen + Stavanger</t>
  </si>
  <si>
    <t>550,000</t>
  </si>
  <si>
    <t>€75</t>
  </si>
  <si>
    <t>€16-22</t>
  </si>
  <si>
    <t>Same as Oslo stack</t>
  </si>
  <si>
    <t>Oil wealth (Stavanger). Extreme cold. Small but very rich.</t>
  </si>
  <si>
    <t>UK</t>
  </si>
  <si>
    <t>London (SW/W/City)</t>
  </si>
  <si>
    <t>3,500,000</t>
  </si>
  <si>
    <t>€18-28</t>
  </si>
  <si>
    <t>EN</t>
  </si>
  <si>
    <t>Matches Fashion, Browns, Liberty, Selfridges, COS</t>
  </si>
  <si>
    <t>Only target wealthy postcodes: SW1-SW7, W1, W8, W11, EC. Avoid rest.</t>
  </si>
  <si>
    <t>Edinburgh</t>
  </si>
  <si>
    <t>540,000</t>
  </si>
  <si>
    <t>Harvey Nichols, Jenners area brands</t>
  </si>
  <si>
    <t>9th in UK purchasing power. Scottish knitwear culture = receptive audience.</t>
  </si>
  <si>
    <t>T2</t>
  </si>
  <si>
    <t>Sweden</t>
  </si>
  <si>
    <t>Stockholm metro</t>
  </si>
  <si>
    <t>2,400,000</t>
  </si>
  <si>
    <t>🟡 MED</t>
  </si>
  <si>
    <t>SV / EN</t>
  </si>
  <si>
    <t>Totême, Acne, COS, Arket, Our Legacy</t>
  </si>
  <si>
    <t>Highest online shopping rate in EU. Fashion-forward. But PP lower than DACH.</t>
  </si>
  <si>
    <t>Netherlands</t>
  </si>
  <si>
    <t>Amsterdam metro</t>
  </si>
  <si>
    <t>2,500,000</t>
  </si>
  <si>
    <t>NL / EN</t>
  </si>
  <si>
    <t>de Bijenkorf, COS, Scotch &amp; Soda</t>
  </si>
  <si>
    <t>Very high online maturity. Less cold than Nordics. Fashion scene growing.</t>
  </si>
  <si>
    <t>The Hague + Utrecht</t>
  </si>
  <si>
    <t>1,200,000</t>
  </si>
  <si>
    <t>€50</t>
  </si>
  <si>
    <t>Same as Amsterdam</t>
  </si>
  <si>
    <t>The Hague: 146.4 PP index. Diplomatic wealth.</t>
  </si>
  <si>
    <t>Austria</t>
  </si>
  <si>
    <t>Vienna metro</t>
  </si>
  <si>
    <t>2,000,000</t>
  </si>
  <si>
    <t>€13-18</t>
  </si>
  <si>
    <t>Steffl, COS, Manner</t>
  </si>
  <si>
    <t>High culture city. Conservative luxury. German-speaking = bundle with DE ads.</t>
  </si>
  <si>
    <t>Salzburg</t>
  </si>
  <si>
    <t>160,000</t>
  </si>
  <si>
    <t>€25</t>
  </si>
  <si>
    <t>€14-18</t>
  </si>
  <si>
    <t>Same as Vienna</t>
  </si>
  <si>
    <t>Small but wealthy. Alpine cold. Tourist luxury spend.</t>
  </si>
  <si>
    <t>Belgium</t>
  </si>
  <si>
    <t>Brussels metro</t>
  </si>
  <si>
    <t>FR / NL / EN</t>
  </si>
  <si>
    <t>Stijl, COS, &amp; Other Stories</t>
  </si>
  <si>
    <t>EU institutional wealth. International population.</t>
  </si>
  <si>
    <t>Finland</t>
  </si>
  <si>
    <t>Helsinki metro</t>
  </si>
  <si>
    <t>1,500,000</t>
  </si>
  <si>
    <t>FI / EN</t>
  </si>
  <si>
    <t>Marimekko, COS, Artek</t>
  </si>
  <si>
    <t>Very cold. High online spend. Smaller fashion market but receptive to quality.</t>
  </si>
  <si>
    <t>Gothenburg</t>
  </si>
  <si>
    <t>600,000</t>
  </si>
  <si>
    <t>€40</t>
  </si>
  <si>
    <t>Same as Stockholm</t>
  </si>
  <si>
    <t>Surprisingly high PP index (151.6). Volvo money.</t>
  </si>
  <si>
    <t>Luxembourg</t>
  </si>
  <si>
    <t>Luxembourg City</t>
  </si>
  <si>
    <t>130,000</t>
  </si>
  <si>
    <t>FR / DE / EN</t>
  </si>
  <si>
    <t>General luxury interests</t>
  </si>
  <si>
    <t>Tiny but 2nd richest in Europe per capita. Financial wealth.</t>
  </si>
  <si>
    <t>Ireland</t>
  </si>
  <si>
    <t>Dublin metro</t>
  </si>
  <si>
    <t>Brown Thomas, Arnotts, COS</t>
  </si>
  <si>
    <t>Tech wealth. English-speaking. Growing fashion market.</t>
  </si>
  <si>
    <t>T3</t>
  </si>
  <si>
    <t>Berlin metro</t>
  </si>
  <si>
    <t>3,700,000</t>
  </si>
  <si>
    <t>🟢 LOW</t>
  </si>
  <si>
    <t>€10-14</t>
  </si>
  <si>
    <t>Voo Store, COS, Andreas Murkudis</t>
  </si>
  <si>
    <t>High fashion cred but lower purchasing power than Munich/Hamburg. Test.</t>
  </si>
  <si>
    <t>France</t>
  </si>
  <si>
    <t>Paris (arrond. 1-8,16)</t>
  </si>
  <si>
    <t>2,200,000</t>
  </si>
  <si>
    <t>FR</t>
  </si>
  <si>
    <t>Le Bon Marché, Galeries Lafayette, COS</t>
  </si>
  <si>
    <t>Only wealthy arrondissements. PP lower than Nordics/DACH. Very competitive.</t>
  </si>
  <si>
    <t>Italy</t>
  </si>
  <si>
    <t>Milan metro</t>
  </si>
  <si>
    <t>3,200,000</t>
  </si>
  <si>
    <t>IT</t>
  </si>
  <si>
    <t>Rinascente, 10 Corso Como, COS</t>
  </si>
  <si>
    <t>Fashion capital but PP low. Only makes sense for brand credibility.</t>
  </si>
  <si>
    <t>Trondheim</t>
  </si>
  <si>
    <t>210,000</t>
  </si>
  <si>
    <t>Same as Oslo</t>
  </si>
  <si>
    <t>Small but wealthy + freezing. Bundle with Oslo campaigns.</t>
  </si>
  <si>
    <t>Aarhus</t>
  </si>
  <si>
    <t>350,000</t>
  </si>
  <si>
    <t>Same as Copenhagen</t>
  </si>
  <si>
    <t>144.1 PP = higher than Copenhagen! 2nd city. Worth testing.</t>
  </si>
  <si>
    <t>Malmö</t>
  </si>
  <si>
    <t>Cross-border with Copenhagen. Bridge market.</t>
  </si>
  <si>
    <t>KNITWEAR DEMAND BY MONTH × MARKET</t>
  </si>
  <si>
    <t>Relative demand index (10 = peak, 0 = zero). Based on climate + shopping patterns.</t>
  </si>
  <si>
    <t>MARKET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</si>
  <si>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</si>
  <si>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</si>
  <si>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</si>
  <si>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</si>
  <si>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</si>
  <si>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</si>
  <si>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</si>
  <si>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</si>
  <si>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</si>
  <si>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</si>
  <si>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</si>
  <si>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</si>
  <si>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PEAK WINDOW</t>
  </si>
  <si>
    <t>Oct-Jan</t>
  </si>
  <si>
    <t>Gift season Nov-Dec massive. Cold starts Sep.</t>
  </si>
  <si>
    <t>Oct-Feb</t>
  </si>
  <si>
    <t>Cold 8 months. Demand almost year-round.</t>
  </si>
  <si>
    <t>Munich/S.Germany</t>
  </si>
  <si>
    <t>Alpine proximity = cold start early Sep.</t>
  </si>
  <si>
    <t>Hamburg/N.Germany</t>
  </si>
  <si>
    <t>Sep-Jan</t>
  </si>
  <si>
    <t>Maritime cold = longer season than south.</t>
  </si>
  <si>
    <t>Copenhagen</t>
  </si>
  <si>
    <t>Hygge culture = knitwear as lifestyle.</t>
  </si>
  <si>
    <t>Stockholm</t>
  </si>
  <si>
    <t>Sep-Feb</t>
  </si>
  <si>
    <t>Long winter. Knitwear essential.</t>
  </si>
  <si>
    <t>London</t>
  </si>
  <si>
    <t>Oct-Dec</t>
  </si>
  <si>
    <t>Mild winter but gift-giving culture huge.</t>
  </si>
  <si>
    <t>Colder than London. Knitwear culture strong.</t>
  </si>
  <si>
    <t>Helsinki</t>
  </si>
  <si>
    <t>Sep-Mar</t>
  </si>
  <si>
    <t>Longest cold season. Demand almost year-round.</t>
  </si>
  <si>
    <t>Amsterdam/NL</t>
  </si>
  <si>
    <t>Mild but wet winters. Layering culture.</t>
  </si>
  <si>
    <t>Vienna/Austria</t>
  </si>
  <si>
    <t>Similar to Munich. Alpine influence.</t>
  </si>
  <si>
    <t>Paris</t>
  </si>
  <si>
    <t>Milder. Fashion-driven demand, not climate.</t>
  </si>
  <si>
    <t>Dublin</t>
  </si>
  <si>
    <t>Damp cold. Wool is practical + cultural.</t>
  </si>
  <si>
    <t>SAN BERNARDO PLAN</t>
  </si>
  <si>
    <t>PRE-ORDER</t>
  </si>
  <si>
    <t>RAMP</t>
  </si>
  <si>
    <t>SCALE</t>
  </si>
  <si>
    <t>PEAK</t>
  </si>
  <si>
    <t>→ Ad spend timing</t>
  </si>
  <si>
    <t>WIND</t>
  </si>
  <si>
    <t>STOP</t>
  </si>
  <si>
    <t>LAUNCH</t>
  </si>
  <si>
    <t>Match spend to demand curve</t>
  </si>
  <si>
    <t>META + GOOGLE AD BUDGET ALLOCATION BY MARKET</t>
  </si>
  <si>
    <t>Based on: Purchasing Power × Cold Months × Fashion Consciousness × Online Maturity</t>
  </si>
  <si>
    <t>PHASE 1 (Feb-Jul)
List Building</t>
  </si>
  <si>
    <t>PHASE 2 (Jul-Sep)
Pre-Order</t>
  </si>
  <si>
    <t>PHASE 3 (Oct-Dec)
Peak Season</t>
  </si>
  <si>
    <t>PHASE 4 (Jan-Mar)
Wind Down</t>
  </si>
  <si>
    <t>TOTAL ANNUAL</t>
  </si>
  <si>
    <t>% OF BUDGET</t>
  </si>
  <si>
    <t>EXPECTED LEADS (Ph1)</t>
  </si>
  <si>
    <t>EXPECTED ORDERS (Ph2-4)</t>
  </si>
  <si>
    <t>EST. REVENUE</t>
  </si>
  <si>
    <t>ROAS TARGET</t>
  </si>
  <si>
    <t>Zurich + Basel + Bern</t>
  </si>
  <si>
    <t>5x</t>
  </si>
  <si>
    <t>Geneva + Lausanne</t>
  </si>
  <si>
    <t>Oslo + Bergen + Stavanger</t>
  </si>
  <si>
    <t>Munich + Starnberg</t>
  </si>
  <si>
    <t>6x</t>
  </si>
  <si>
    <t>Copenhagen + Aarhus</t>
  </si>
  <si>
    <t>Hamburg + Eppendorf</t>
  </si>
  <si>
    <t>Düsseldorf + Stuttgart + Frankfurt</t>
  </si>
  <si>
    <t>London (SW/W only)</t>
  </si>
  <si>
    <t>4x</t>
  </si>
  <si>
    <t>Stockholm + Gothenburg</t>
  </si>
  <si>
    <t>Amsterdam + The Hague + Utrecht</t>
  </si>
  <si>
    <t>Vienna + Salzburg</t>
  </si>
  <si>
    <t>Brussels + Luxembourg</t>
  </si>
  <si>
    <t>Berlin (test)</t>
  </si>
  <si>
    <t>Paris (1-8,16 only)</t>
  </si>
  <si>
    <t>3x</t>
  </si>
  <si>
    <t>Malmö + Trondheim (bundle)</t>
  </si>
  <si>
    <t>TOTAL</t>
  </si>
  <si>
    <t>ADDRESSABLE MARKET SIZE BY COUNTRY</t>
  </si>
  <si>
    <t>Target: Women 28-52 + Men (20%), income top 15%, fashion-conscious, cold climate dwellers</t>
  </si>
  <si>
    <t>TOTAL POP (M)</t>
  </si>
  <si>
    <t>URBAN POP (M)</t>
  </si>
  <si>
    <t>TARGET DEMO (28-52, top 15%)</t>
  </si>
  <si>
    <t>FASHION-CONSCIOUS %</t>
  </si>
  <si>
    <t>ADDRESSABLE AUDIENCE</t>
  </si>
  <si>
    <t>PP PER CAPITA (€)</t>
  </si>
  <si>
    <t>WOOL CONSUMPTION RANK (EU)</t>
  </si>
  <si>
    <t>COLD MONTHS ≥6</t>
  </si>
  <si>
    <t>TAM: PREMIUM KNITWEAR (€M)</t>
  </si>
  <si>
    <t>SAN BERNARDO SAM (0.01-0.05%)</t>
  </si>
  <si>
    <t>REALISTIC Y1 CUSTOMERS</t>
  </si>
  <si>
    <t>Y1 REVENUE POTENTIAL (€)</t>
  </si>
  <si>
    <t>960,000</t>
  </si>
  <si>
    <t>35%</t>
  </si>
  <si>
    <t>336,000</t>
  </si>
  <si>
    <t>Yes</t>
  </si>
  <si>
    <t>9,570,000</t>
  </si>
  <si>
    <t>25%</t>
  </si>
  <si>
    <t>2,392,500</t>
  </si>
  <si>
    <t>675,000</t>
  </si>
  <si>
    <t>30%</t>
  </si>
  <si>
    <t>202,500</t>
  </si>
  <si>
    <t>780,000</t>
  </si>
  <si>
    <t>32%</t>
  </si>
  <si>
    <t>249,600</t>
  </si>
  <si>
    <t>8,385,000</t>
  </si>
  <si>
    <t>28%</t>
  </si>
  <si>
    <t>2,347,800</t>
  </si>
  <si>
    <t>Partial</t>
  </si>
  <si>
    <t>1,380,000</t>
  </si>
  <si>
    <t>414,000</t>
  </si>
  <si>
    <t>2,460,000</t>
  </si>
  <si>
    <t>615,000</t>
  </si>
  <si>
    <t>795,000</t>
  </si>
  <si>
    <t>222,600</t>
  </si>
  <si>
    <t>705,000</t>
  </si>
  <si>
    <t>176,250</t>
  </si>
  <si>
    <t>1,710,000</t>
  </si>
  <si>
    <t>23%</t>
  </si>
  <si>
    <t>393,300</t>
  </si>
  <si>
    <t>480,000</t>
  </si>
  <si>
    <t>120,000</t>
  </si>
  <si>
    <t>90,000</t>
  </si>
  <si>
    <t>27,000</t>
  </si>
  <si>
    <t>France (Paris only)</t>
  </si>
  <si>
    <t>1,845,000</t>
  </si>
  <si>
    <t>553,500</t>
  </si>
  <si>
    <t>TOTAL ADDRESSABLE</t>
  </si>
  <si>
    <t>DTC LAUNCH EXECUTION CHECKLIST</t>
  </si>
  <si>
    <t>STATUS</t>
  </si>
  <si>
    <t>WEEK</t>
  </si>
  <si>
    <t>ACTION</t>
  </si>
  <si>
    <t>PLATFORM</t>
  </si>
  <si>
    <t>DETAILS</t>
  </si>
  <si>
    <t>COST</t>
  </si>
  <si>
    <t>OWNER</t>
  </si>
  <si>
    <t>Feb W3</t>
  </si>
  <si>
    <t>Create Instagram account</t>
  </si>
  <si>
    <t>IG</t>
  </si>
  <si>
    <t>@sanbernardo or @sanbernardoknitwear</t>
  </si>
  <si>
    <t>€0</t>
  </si>
  <si>
    <t>You</t>
  </si>
  <si>
    <t>Create Pinterest business account</t>
  </si>
  <si>
    <t>Pinterest</t>
  </si>
  <si>
    <t>Boards: Collection, Merino, Patagonia, Winter, Gift Ideas, Cozy</t>
  </si>
  <si>
    <t>Build email landing page on Shopify</t>
  </si>
  <si>
    <t>Shopify</t>
  </si>
  <si>
    <t>'Be first to know' + email capture. Brand imagery.</t>
  </si>
  <si>
    <t>Connect Klaviyo to Shopify</t>
  </si>
  <si>
    <t>Klaviyo</t>
  </si>
  <si>
    <t>Free plan up to 250 contacts. Set up welcome flow.</t>
  </si>
  <si>
    <t>Set up Tailwind for Pinterest</t>
  </si>
  <si>
    <t>Tailwind</t>
  </si>
  <si>
    <t>Schedule 5 pins/day. SEO-heavy captions.</t>
  </si>
  <si>
    <t>€15/mo</t>
  </si>
  <si>
    <t>Feb W4</t>
  </si>
  <si>
    <t>First 10 IG posts (world-building)</t>
  </si>
  <si>
    <t>Patagonia landscapes, yarn textures, stamps, mate. NO product.</t>
  </si>
  <si>
    <t>First 20 Pinterest pins</t>
  </si>
  <si>
    <t>Mood board images: landscapes, textures, knitwear inspiration</t>
  </si>
  <si>
    <t>Mar W1</t>
  </si>
  <si>
    <t>Launch Meta lead gen ads — Phase 1</t>
  </si>
  <si>
    <t>Meta</t>
  </si>
  <si>
    <t>€500/mo. Target: CH + Munich + Oslo + CPH + Hamburg. See Sheet 3.</t>
  </si>
  <si>
    <t>€500/mo</t>
  </si>
  <si>
    <t>Start building wholesale prospect list priority A/B/C</t>
  </si>
  <si>
    <t>Sheets</t>
  </si>
  <si>
    <t>From your 1,300 stockists database. Add buyer emails.</t>
  </si>
  <si>
    <t>Mar-Jun</t>
  </si>
  <si>
    <t>Post 5x/week IG + 5 pins/day Pinterest</t>
  </si>
  <si>
    <t>IG + Pin</t>
  </si>
  <si>
    <t>Follow social calendar. Build world, no product until June.</t>
  </si>
  <si>
    <t>Jun W1</t>
  </si>
  <si>
    <t>Product teaser posts begin</t>
  </si>
  <si>
    <t>Sample close-ups, texture, color reveals. Build anticipation.</t>
  </si>
  <si>
    <t>Send wholesale lookbook + line sheet to 40 stores</t>
  </si>
  <si>
    <t>Email</t>
  </si>
  <si>
    <t>Priority A stores first. PDF lookbook from Tactics shoot.</t>
  </si>
  <si>
    <t>Jun W3</t>
  </si>
  <si>
    <t>Set up Google Merchant Center + Shopping feed</t>
  </si>
  <si>
    <t>Google</t>
  </si>
  <si>
    <t>All products ready. Geo: CH, DE, NO, DK, UK, AT, SE</t>
  </si>
  <si>
    <t>Jul W1</t>
  </si>
  <si>
    <t>All Shopify product pages live and tested</t>
  </si>
  <si>
    <t>Multi-currency (CHF, NOK, DKK, SEK, GBP, EUR). Test checkout.</t>
  </si>
  <si>
    <t>Pre-load all Meta + Google ad creatives</t>
  </si>
  <si>
    <t>Meta/Google</t>
  </si>
  <si>
    <t>3-4 creatives per market. Lookbook images.</t>
  </si>
  <si>
    <t>Jul 15</t>
  </si>
  <si>
    <t>🚀 PRE-ORDER LAUNCH</t>
  </si>
  <si>
    <t>ALL</t>
  </si>
  <si>
    <t>Email blast + IG + Meta ads + Google Shopping go live</t>
  </si>
  <si>
    <t>€1,500/mo</t>
  </si>
  <si>
    <t>Jul-Aug</t>
  </si>
  <si>
    <t>Scale ads to performing markets</t>
  </si>
  <si>
    <t>Kill markets with CPA &gt; €50. Scale markets with CPA &lt; €30.</t>
  </si>
  <si>
    <t>Variable</t>
  </si>
  <si>
    <t>Sep 1</t>
  </si>
  <si>
    <t>First orders ship</t>
  </si>
  <si>
    <t>3PL</t>
  </si>
  <si>
    <t>All pre-orders fulfilled in first 2 weeks.</t>
  </si>
  <si>
    <t>3PL cost</t>
  </si>
  <si>
    <t>Sep W3</t>
  </si>
  <si>
    <t>Full public launch — ads scaled up</t>
  </si>
  <si>
    <t>Phase 3 budget kicks in. Peak season begins.</t>
  </si>
  <si>
    <t>€2,300/mo</t>
  </si>
  <si>
    <t>Peak selling season</t>
  </si>
  <si>
    <t>Gift guide Nov 1. Black Friday 'No.' post Nov 24. Dec 15 cutoff.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</si>
</sst>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\€#,##0"/>
    <numFmt numFmtId="165" formatCode="0.0%"/>
    <numFmt numFmtId="166" formatCode="\€#,##0.0"/>
  </numFmts>
  <fonts count="8">
    <font>
      <sz val="11.0"/>
      <color theme="1"/>
      <name val="Calibri"/>
      <scheme val="minor"/>
    </font>
    <font>
      <b/>
      <sz val="10.0"/>
      <color rgb="FFFFFFFF"/>
      <name val="Calibri"/>
    </font>
    <font>
      <color theme="1"/>
      <name val="Calibri"/>
    </font>
    <font>
      <sz val="9.0"/>
      <color rgb="FF1E1A14"/>
      <name val="Calibri"/>
    </font>
    <font>
      <b/>
      <sz val="14.0"/>
      <color rgb="FF2A1F14"/>
      <name val="Arial"/>
    </font>
    <font>
      <sz val="9.0"/>
      <color rgb="FF7A6E5E"/>
      <name val="Arial"/>
    </font>
    <font>
      <b/>
      <sz val="10.0"/>
      <color rgb="FFFFFFFF"/>
      <name val="Arial"/>
    </font>
    <font>
      <sz val="9.0"/>
      <color rgb="FF1E1A14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2A1F14"/>
        <bgColor rgb="FF2A1F14"/>
      </patternFill>
    </fill>
    <fill>
      <patternFill patternType="solid">
        <fgColor rgb="FFD4EDDA"/>
        <bgColor rgb="FFD4EDDA"/>
      </patternFill>
    </fill>
    <fill>
      <patternFill patternType="solid">
        <fgColor rgb="FFFFF3CD"/>
        <bgColor rgb="FFFFF3CD"/>
      </patternFill>
    </fill>
    <fill>
      <patternFill patternType="solid">
        <fgColor rgb="FFFFD966"/>
        <bgColor rgb="FFFFD966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8D7DA"/>
        <bgColor rgb="FFF8D7DA"/>
      </patternFill>
    </fill>
    <fill>
      <patternFill patternType="solid">
        <fgColor rgb="FFC6EFCE"/>
        <bgColor rgb="FFC6EFCE"/>
      </patternFill>
    </fill>
    <fill>
      <patternFill patternType="solid">
        <fgColor rgb="FFF0EBE1"/>
        <bgColor rgb="FFF0EBE1"/>
      </patternFill>
    </fill>
  </fills>
  <borders count="2">
    <border/>
    <border>
      <left style="thin">
        <color rgb="FFD6CCBA"/>
      </left>
      <right style="thin">
        <color rgb="FFD6CCBA"/>
      </right>
      <top style="thin">
        <color rgb="FFD6CCBA"/>
      </top>
      <bottom style="thin">
        <color rgb="FFD6CCBA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0" fillId="0" fontId="2" numFmtId="0" xfId="0" applyFont="1"/>
    <xf borderId="1" fillId="3" fontId="3" numFmtId="0" xfId="0" applyAlignment="1" applyBorder="1" applyFill="1" applyFont="1">
      <alignment shrinkToFit="0" vertical="center" wrapText="1"/>
    </xf>
    <xf borderId="1" fillId="4" fontId="3" numFmtId="0" xfId="0" applyAlignment="1" applyBorder="1" applyFill="1" applyFont="1">
      <alignment shrinkToFit="0" vertical="center" wrapText="1"/>
    </xf>
    <xf borderId="1" fillId="5" fontId="3" numFmtId="0" xfId="0" applyAlignment="1" applyBorder="1" applyFill="1" applyFont="1">
      <alignment shrinkToFit="0" vertical="center" wrapText="1"/>
    </xf>
    <xf borderId="0" fillId="5" fontId="2" numFmtId="0" xfId="0" applyFont="1"/>
    <xf borderId="1" fillId="6" fontId="3" numFmtId="0" xfId="0" applyAlignment="1" applyBorder="1" applyFill="1" applyFont="1">
      <alignment shrinkToFit="0" vertical="center" wrapText="1"/>
    </xf>
    <xf borderId="0" fillId="7" fontId="2" numFmtId="0" xfId="0" applyFill="1" applyFont="1"/>
    <xf borderId="1" fillId="8" fontId="3" numFmtId="0" xfId="0" applyAlignment="1" applyBorder="1" applyFill="1" applyFont="1">
      <alignment shrinkToFit="0" vertical="center" wrapText="1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1" fillId="2" fontId="6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shrinkToFit="0" vertical="bottom" wrapText="0"/>
    </xf>
    <xf borderId="1" fillId="9" fontId="7" numFmtId="0" xfId="0" applyAlignment="1" applyBorder="1" applyFill="1" applyFont="1">
      <alignment shrinkToFit="0" vertical="bottom" wrapText="0"/>
    </xf>
    <xf borderId="1" fillId="4" fontId="7" numFmtId="0" xfId="0" applyAlignment="1" applyBorder="1" applyFont="1">
      <alignment shrinkToFit="0" vertical="bottom" wrapText="0"/>
    </xf>
    <xf borderId="1" fillId="8" fontId="7" numFmtId="0" xfId="0" applyAlignment="1" applyBorder="1" applyFont="1">
      <alignment shrinkToFit="0" vertical="bottom" wrapText="0"/>
    </xf>
    <xf borderId="1" fillId="3" fontId="7" numFmtId="0" xfId="0" applyAlignment="1" applyBorder="1" applyFont="1">
      <alignment shrinkToFit="0" vertical="center" wrapText="1"/>
    </xf>
    <xf borderId="1" fillId="3" fontId="7" numFmtId="164" xfId="0" applyAlignment="1" applyBorder="1" applyFont="1" applyNumberFormat="1">
      <alignment shrinkToFit="0" vertical="center" wrapText="1"/>
    </xf>
    <xf borderId="1" fillId="3" fontId="7" numFmtId="165" xfId="0" applyAlignment="1" applyBorder="1" applyFont="1" applyNumberFormat="1">
      <alignment shrinkToFit="0" vertical="center" wrapText="1"/>
    </xf>
    <xf borderId="1" fillId="3" fontId="7" numFmtId="3" xfId="0" applyAlignment="1" applyBorder="1" applyFont="1" applyNumberFormat="1">
      <alignment shrinkToFit="0" vertical="center" wrapText="1"/>
    </xf>
    <xf borderId="1" fillId="4" fontId="7" numFmtId="0" xfId="0" applyAlignment="1" applyBorder="1" applyFont="1">
      <alignment shrinkToFit="0" vertical="center" wrapText="1"/>
    </xf>
    <xf borderId="1" fillId="4" fontId="7" numFmtId="164" xfId="0" applyAlignment="1" applyBorder="1" applyFont="1" applyNumberFormat="1">
      <alignment shrinkToFit="0" vertical="center" wrapText="1"/>
    </xf>
    <xf borderId="1" fillId="4" fontId="7" numFmtId="165" xfId="0" applyAlignment="1" applyBorder="1" applyFont="1" applyNumberFormat="1">
      <alignment shrinkToFit="0" vertical="center" wrapText="1"/>
    </xf>
    <xf borderId="1" fillId="4" fontId="7" numFmtId="3" xfId="0" applyAlignment="1" applyBorder="1" applyFont="1" applyNumberFormat="1">
      <alignment shrinkToFit="0" vertical="center" wrapText="1"/>
    </xf>
    <xf borderId="1" fillId="8" fontId="7" numFmtId="0" xfId="0" applyAlignment="1" applyBorder="1" applyFont="1">
      <alignment shrinkToFit="0" vertical="center" wrapText="1"/>
    </xf>
    <xf borderId="1" fillId="8" fontId="7" numFmtId="164" xfId="0" applyAlignment="1" applyBorder="1" applyFont="1" applyNumberFormat="1">
      <alignment shrinkToFit="0" vertical="center" wrapText="1"/>
    </xf>
    <xf borderId="1" fillId="8" fontId="7" numFmtId="165" xfId="0" applyAlignment="1" applyBorder="1" applyFont="1" applyNumberFormat="1">
      <alignment shrinkToFit="0" vertical="center" wrapText="1"/>
    </xf>
    <xf borderId="1" fillId="8" fontId="7" numFmtId="3" xfId="0" applyAlignment="1" applyBorder="1" applyFont="1" applyNumberFormat="1">
      <alignment shrinkToFit="0" vertical="center" wrapText="1"/>
    </xf>
    <xf borderId="1" fillId="10" fontId="7" numFmtId="0" xfId="0" applyAlignment="1" applyBorder="1" applyFill="1" applyFont="1">
      <alignment shrinkToFit="0" vertical="center" wrapText="1"/>
    </xf>
    <xf borderId="1" fillId="10" fontId="7" numFmtId="164" xfId="0" applyAlignment="1" applyBorder="1" applyFont="1" applyNumberFormat="1">
      <alignment shrinkToFit="0" vertical="center" wrapText="1"/>
    </xf>
    <xf borderId="1" fillId="10" fontId="7" numFmtId="165" xfId="0" applyAlignment="1" applyBorder="1" applyFont="1" applyNumberFormat="1">
      <alignment shrinkToFit="0" vertical="center" wrapText="1"/>
    </xf>
    <xf borderId="1" fillId="10" fontId="7" numFmtId="3" xfId="0" applyAlignment="1" applyBorder="1" applyFont="1" applyNumberFormat="1">
      <alignment shrinkToFit="0" vertical="center" wrapText="1"/>
    </xf>
    <xf borderId="1" fillId="0" fontId="7" numFmtId="0" xfId="0" applyAlignment="1" applyBorder="1" applyFont="1">
      <alignment shrinkToFit="0" vertical="center" wrapText="1"/>
    </xf>
    <xf borderId="1" fillId="0" fontId="7" numFmtId="166" xfId="0" applyAlignment="1" applyBorder="1" applyFont="1" applyNumberFormat="1">
      <alignment shrinkToFit="0" vertical="center" wrapText="1"/>
    </xf>
    <xf borderId="1" fillId="0" fontId="7" numFmtId="3" xfId="0" applyAlignment="1" applyBorder="1" applyFont="1" applyNumberFormat="1">
      <alignment shrinkToFit="0" vertical="center" wrapText="1"/>
    </xf>
    <xf borderId="1" fillId="0" fontId="7" numFmtId="164" xfId="0" applyAlignment="1" applyBorder="1" applyFont="1" applyNumberFormat="1">
      <alignment shrinkToFit="0" vertical="center" wrapText="1"/>
    </xf>
    <xf borderId="1" fillId="10" fontId="7" numFmtId="166" xfId="0" applyAlignment="1" applyBorder="1" applyFont="1" applyNumberForma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3A1A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.71"/>
    <col customWidth="1" min="2" max="2" width="10.71"/>
    <col customWidth="1" min="3" max="3" width="22.0"/>
    <col customWidth="1" min="4" max="4" width="15.0"/>
    <col customWidth="1" min="5" max="5" width="13.71"/>
    <col customWidth="1" min="6" max="6" width="14.0"/>
    <col customWidth="1" min="7" max="7" width="10.0"/>
    <col customWidth="1" min="8" max="8" width="11.71"/>
    <col customWidth="1" min="9" max="9" width="10.71"/>
    <col customWidth="1" min="10" max="10" width="12.29"/>
    <col customWidth="1" min="11" max="11" width="13.43"/>
    <col customWidth="1" min="12" max="12" width="12.0"/>
    <col customWidth="1" min="13" max="13" width="11.71"/>
    <col customWidth="1" min="14" max="14" width="11.29"/>
    <col customWidth="1" min="15" max="15" width="10.57"/>
    <col customWidth="1" min="16" max="16" width="58.29"/>
    <col customWidth="1" min="17" max="17" width="58.57"/>
    <col customWidth="1" min="1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1" t="s">
        <v>15</v>
      </c>
      <c r="Q1" s="1" t="s">
        <v>16</v>
      </c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17</v>
      </c>
      <c r="B2" s="4" t="s">
        <v>18</v>
      </c>
      <c r="C2" s="4" t="s">
        <v>19</v>
      </c>
      <c r="D2" s="4" t="s">
        <v>20</v>
      </c>
      <c r="E2" s="4">
        <v>158.9</v>
      </c>
      <c r="F2" s="4">
        <v>53011.0</v>
      </c>
      <c r="G2" s="4">
        <v>7.0</v>
      </c>
      <c r="H2" s="4">
        <v>9.5</v>
      </c>
      <c r="I2" s="4">
        <v>9.5</v>
      </c>
      <c r="J2" s="4">
        <v>9.0</v>
      </c>
      <c r="K2" s="4">
        <f t="shared" ref="K2:K29" si="1">(H2+I2+J2)/3*E2/100</f>
        <v>14.83066667</v>
      </c>
      <c r="L2" s="4" t="s">
        <v>21</v>
      </c>
      <c r="M2" s="4" t="s">
        <v>22</v>
      </c>
      <c r="N2" s="4" t="s">
        <v>23</v>
      </c>
      <c r="O2" s="4" t="s">
        <v>24</v>
      </c>
      <c r="P2" s="4" t="s">
        <v>25</v>
      </c>
      <c r="Q2" s="4" t="s">
        <v>26</v>
      </c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17</v>
      </c>
      <c r="B3" s="4" t="s">
        <v>18</v>
      </c>
      <c r="C3" s="4" t="s">
        <v>27</v>
      </c>
      <c r="D3" s="4" t="s">
        <v>28</v>
      </c>
      <c r="E3" s="4">
        <v>155.2</v>
      </c>
      <c r="F3" s="4">
        <v>53011.0</v>
      </c>
      <c r="G3" s="4">
        <v>7.0</v>
      </c>
      <c r="H3" s="4">
        <v>9.0</v>
      </c>
      <c r="I3" s="4">
        <v>9.5</v>
      </c>
      <c r="J3" s="4">
        <v>8.5</v>
      </c>
      <c r="K3" s="4">
        <f t="shared" si="1"/>
        <v>13.968</v>
      </c>
      <c r="L3" s="4" t="s">
        <v>21</v>
      </c>
      <c r="M3" s="4" t="s">
        <v>29</v>
      </c>
      <c r="N3" s="4" t="s">
        <v>30</v>
      </c>
      <c r="O3" s="4" t="s">
        <v>31</v>
      </c>
      <c r="P3" s="4" t="s">
        <v>32</v>
      </c>
      <c r="Q3" s="4" t="s">
        <v>33</v>
      </c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17</v>
      </c>
      <c r="B4" s="4" t="s">
        <v>34</v>
      </c>
      <c r="C4" s="4" t="s">
        <v>35</v>
      </c>
      <c r="D4" s="4" t="s">
        <v>36</v>
      </c>
      <c r="E4" s="4">
        <v>108.6</v>
      </c>
      <c r="F4" s="4">
        <v>45750.0</v>
      </c>
      <c r="G4" s="4">
        <v>8.0</v>
      </c>
      <c r="H4" s="4">
        <v>9.5</v>
      </c>
      <c r="I4" s="4">
        <v>8.5</v>
      </c>
      <c r="J4" s="4">
        <v>9.0</v>
      </c>
      <c r="K4" s="4">
        <f t="shared" si="1"/>
        <v>9.774</v>
      </c>
      <c r="L4" s="4" t="s">
        <v>21</v>
      </c>
      <c r="M4" s="4" t="s">
        <v>29</v>
      </c>
      <c r="N4" s="4" t="s">
        <v>37</v>
      </c>
      <c r="O4" s="4" t="s">
        <v>38</v>
      </c>
      <c r="P4" s="4" t="s">
        <v>39</v>
      </c>
      <c r="Q4" s="4" t="s">
        <v>40</v>
      </c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17</v>
      </c>
      <c r="B5" s="4" t="s">
        <v>41</v>
      </c>
      <c r="C5" s="4" t="s">
        <v>42</v>
      </c>
      <c r="D5" s="4" t="s">
        <v>43</v>
      </c>
      <c r="E5" s="4">
        <v>138.0</v>
      </c>
      <c r="F5" s="4">
        <v>40684.0</v>
      </c>
      <c r="G5" s="4">
        <v>7.0</v>
      </c>
      <c r="H5" s="4">
        <v>9.0</v>
      </c>
      <c r="I5" s="4">
        <v>9.0</v>
      </c>
      <c r="J5" s="4">
        <v>9.0</v>
      </c>
      <c r="K5" s="4">
        <f t="shared" si="1"/>
        <v>12.42</v>
      </c>
      <c r="L5" s="4" t="s">
        <v>21</v>
      </c>
      <c r="M5" s="4" t="s">
        <v>22</v>
      </c>
      <c r="N5" s="4" t="s">
        <v>44</v>
      </c>
      <c r="O5" s="4" t="s">
        <v>24</v>
      </c>
      <c r="P5" s="4" t="s">
        <v>45</v>
      </c>
      <c r="Q5" s="4" t="s">
        <v>46</v>
      </c>
      <c r="R5" s="3"/>
      <c r="S5" s="3"/>
      <c r="T5" s="3"/>
      <c r="U5" s="3"/>
      <c r="V5" s="3"/>
      <c r="W5" s="3"/>
      <c r="X5" s="3"/>
      <c r="Y5" s="3"/>
      <c r="Z5" s="3"/>
    </row>
    <row r="6">
      <c r="A6" s="4" t="s">
        <v>17</v>
      </c>
      <c r="B6" s="4" t="s">
        <v>47</v>
      </c>
      <c r="C6" s="4" t="s">
        <v>48</v>
      </c>
      <c r="D6" s="4" t="s">
        <v>49</v>
      </c>
      <c r="E6" s="4">
        <v>131.5</v>
      </c>
      <c r="F6" s="4">
        <v>35890.0</v>
      </c>
      <c r="G6" s="4">
        <v>7.0</v>
      </c>
      <c r="H6" s="4">
        <v>9.0</v>
      </c>
      <c r="I6" s="4">
        <v>9.5</v>
      </c>
      <c r="J6" s="4">
        <v>9.5</v>
      </c>
      <c r="K6" s="4">
        <f t="shared" si="1"/>
        <v>12.27333333</v>
      </c>
      <c r="L6" s="4" t="s">
        <v>21</v>
      </c>
      <c r="M6" s="4" t="s">
        <v>50</v>
      </c>
      <c r="N6" s="4" t="s">
        <v>51</v>
      </c>
      <c r="O6" s="4" t="s">
        <v>52</v>
      </c>
      <c r="P6" s="4" t="s">
        <v>53</v>
      </c>
      <c r="Q6" s="4" t="s">
        <v>54</v>
      </c>
      <c r="R6" s="3"/>
      <c r="S6" s="3"/>
      <c r="T6" s="3"/>
      <c r="U6" s="3"/>
      <c r="V6" s="3"/>
      <c r="W6" s="3"/>
      <c r="X6" s="3"/>
      <c r="Y6" s="3"/>
      <c r="Z6" s="3"/>
    </row>
    <row r="7">
      <c r="A7" s="4" t="s">
        <v>17</v>
      </c>
      <c r="B7" s="4" t="s">
        <v>41</v>
      </c>
      <c r="C7" s="4" t="s">
        <v>55</v>
      </c>
      <c r="D7" s="4" t="s">
        <v>56</v>
      </c>
      <c r="E7" s="4">
        <v>140.0</v>
      </c>
      <c r="F7" s="4">
        <v>29510.0</v>
      </c>
      <c r="G7" s="4">
        <v>7.0</v>
      </c>
      <c r="H7" s="4">
        <v>9.0</v>
      </c>
      <c r="I7" s="4">
        <v>8.5</v>
      </c>
      <c r="J7" s="4">
        <v>9.0</v>
      </c>
      <c r="K7" s="4">
        <f t="shared" si="1"/>
        <v>12.36666667</v>
      </c>
      <c r="L7" s="4" t="s">
        <v>21</v>
      </c>
      <c r="M7" s="4" t="s">
        <v>50</v>
      </c>
      <c r="N7" s="4" t="s">
        <v>44</v>
      </c>
      <c r="O7" s="4" t="s">
        <v>24</v>
      </c>
      <c r="P7" s="4" t="s">
        <v>57</v>
      </c>
      <c r="Q7" s="4" t="s">
        <v>58</v>
      </c>
      <c r="R7" s="3"/>
      <c r="S7" s="3"/>
      <c r="T7" s="3"/>
      <c r="U7" s="3"/>
      <c r="V7" s="3"/>
      <c r="W7" s="3"/>
      <c r="X7" s="3"/>
      <c r="Y7" s="3"/>
      <c r="Z7" s="3"/>
    </row>
    <row r="8">
      <c r="A8" s="4" t="s">
        <v>17</v>
      </c>
      <c r="B8" s="4" t="s">
        <v>41</v>
      </c>
      <c r="C8" s="4" t="s">
        <v>59</v>
      </c>
      <c r="D8" s="4" t="s">
        <v>60</v>
      </c>
      <c r="E8" s="4">
        <v>137.8</v>
      </c>
      <c r="F8" s="4">
        <v>29510.0</v>
      </c>
      <c r="G8" s="4">
        <v>6.0</v>
      </c>
      <c r="H8" s="4">
        <v>8.5</v>
      </c>
      <c r="I8" s="4">
        <v>9.0</v>
      </c>
      <c r="J8" s="4">
        <v>9.0</v>
      </c>
      <c r="K8" s="4">
        <f t="shared" si="1"/>
        <v>12.17233333</v>
      </c>
      <c r="L8" s="4" t="s">
        <v>61</v>
      </c>
      <c r="M8" s="4" t="s">
        <v>62</v>
      </c>
      <c r="N8" s="4" t="s">
        <v>63</v>
      </c>
      <c r="O8" s="4" t="s">
        <v>24</v>
      </c>
      <c r="P8" s="4" t="s">
        <v>64</v>
      </c>
      <c r="Q8" s="4" t="s">
        <v>65</v>
      </c>
      <c r="R8" s="3"/>
      <c r="S8" s="3"/>
      <c r="T8" s="3"/>
      <c r="U8" s="3"/>
      <c r="V8" s="3"/>
      <c r="W8" s="3"/>
      <c r="X8" s="3"/>
      <c r="Y8" s="3"/>
      <c r="Z8" s="3"/>
    </row>
    <row r="9">
      <c r="A9" s="4" t="s">
        <v>17</v>
      </c>
      <c r="B9" s="4" t="s">
        <v>41</v>
      </c>
      <c r="C9" s="4" t="s">
        <v>66</v>
      </c>
      <c r="D9" s="4" t="s">
        <v>67</v>
      </c>
      <c r="E9" s="4">
        <v>135.8</v>
      </c>
      <c r="F9" s="4">
        <v>29510.0</v>
      </c>
      <c r="G9" s="4">
        <v>6.0</v>
      </c>
      <c r="H9" s="4">
        <v>8.5</v>
      </c>
      <c r="I9" s="4">
        <v>8.5</v>
      </c>
      <c r="J9" s="4">
        <v>9.0</v>
      </c>
      <c r="K9" s="4">
        <f t="shared" si="1"/>
        <v>11.76933333</v>
      </c>
      <c r="L9" s="4" t="s">
        <v>61</v>
      </c>
      <c r="M9" s="4" t="s">
        <v>62</v>
      </c>
      <c r="N9" s="4" t="s">
        <v>63</v>
      </c>
      <c r="O9" s="4" t="s">
        <v>68</v>
      </c>
      <c r="P9" s="4" t="s">
        <v>69</v>
      </c>
      <c r="Q9" s="4" t="s">
        <v>70</v>
      </c>
      <c r="R9" s="3"/>
      <c r="S9" s="3"/>
      <c r="T9" s="3"/>
      <c r="U9" s="3"/>
      <c r="V9" s="3"/>
      <c r="W9" s="3"/>
      <c r="X9" s="3"/>
      <c r="Y9" s="3"/>
      <c r="Z9" s="3"/>
    </row>
    <row r="10">
      <c r="A10" s="4" t="s">
        <v>17</v>
      </c>
      <c r="B10" s="4" t="s">
        <v>41</v>
      </c>
      <c r="C10" s="4" t="s">
        <v>71</v>
      </c>
      <c r="D10" s="4" t="s">
        <v>72</v>
      </c>
      <c r="E10" s="4">
        <v>151.8</v>
      </c>
      <c r="F10" s="4">
        <v>29510.0</v>
      </c>
      <c r="G10" s="4">
        <v>6.0</v>
      </c>
      <c r="H10" s="4">
        <v>8.0</v>
      </c>
      <c r="I10" s="4">
        <v>8.5</v>
      </c>
      <c r="J10" s="4">
        <v>9.0</v>
      </c>
      <c r="K10" s="4">
        <f t="shared" si="1"/>
        <v>12.903</v>
      </c>
      <c r="L10" s="4" t="s">
        <v>61</v>
      </c>
      <c r="M10" s="4" t="s">
        <v>62</v>
      </c>
      <c r="N10" s="4" t="s">
        <v>63</v>
      </c>
      <c r="O10" s="4" t="s">
        <v>24</v>
      </c>
      <c r="P10" s="4" t="s">
        <v>73</v>
      </c>
      <c r="Q10" s="4" t="s">
        <v>74</v>
      </c>
      <c r="R10" s="3"/>
      <c r="S10" s="3"/>
      <c r="T10" s="3"/>
      <c r="U10" s="3"/>
      <c r="V10" s="3"/>
      <c r="W10" s="3"/>
      <c r="X10" s="3"/>
      <c r="Y10" s="3"/>
      <c r="Z10" s="3"/>
    </row>
    <row r="11">
      <c r="A11" s="4" t="s">
        <v>17</v>
      </c>
      <c r="B11" s="4" t="s">
        <v>34</v>
      </c>
      <c r="C11" s="4" t="s">
        <v>75</v>
      </c>
      <c r="D11" s="4" t="s">
        <v>76</v>
      </c>
      <c r="E11" s="4">
        <v>131.4</v>
      </c>
      <c r="F11" s="4">
        <v>45750.0</v>
      </c>
      <c r="G11" s="4">
        <v>8.0</v>
      </c>
      <c r="H11" s="4">
        <v>9.5</v>
      </c>
      <c r="I11" s="4">
        <v>7.5</v>
      </c>
      <c r="J11" s="4">
        <v>8.5</v>
      </c>
      <c r="K11" s="4">
        <f t="shared" si="1"/>
        <v>11.169</v>
      </c>
      <c r="L11" s="4" t="s">
        <v>61</v>
      </c>
      <c r="M11" s="4" t="s">
        <v>77</v>
      </c>
      <c r="N11" s="4" t="s">
        <v>78</v>
      </c>
      <c r="O11" s="4" t="s">
        <v>38</v>
      </c>
      <c r="P11" s="4" t="s">
        <v>79</v>
      </c>
      <c r="Q11" s="4" t="s">
        <v>80</v>
      </c>
      <c r="R11" s="3"/>
      <c r="S11" s="3"/>
      <c r="T11" s="3"/>
      <c r="U11" s="3"/>
      <c r="V11" s="3"/>
      <c r="W11" s="3"/>
      <c r="X11" s="3"/>
      <c r="Y11" s="3"/>
      <c r="Z11" s="3"/>
    </row>
    <row r="12">
      <c r="A12" s="4" t="s">
        <v>17</v>
      </c>
      <c r="B12" s="4" t="s">
        <v>81</v>
      </c>
      <c r="C12" s="4" t="s">
        <v>82</v>
      </c>
      <c r="D12" s="4" t="s">
        <v>83</v>
      </c>
      <c r="E12" s="4">
        <v>111.8</v>
      </c>
      <c r="F12" s="4">
        <v>45331.0</v>
      </c>
      <c r="G12" s="4">
        <v>6.0</v>
      </c>
      <c r="H12" s="4">
        <v>8.0</v>
      </c>
      <c r="I12" s="4">
        <v>9.5</v>
      </c>
      <c r="J12" s="4">
        <v>9.5</v>
      </c>
      <c r="K12" s="4">
        <f t="shared" si="1"/>
        <v>10.062</v>
      </c>
      <c r="L12" s="4" t="s">
        <v>61</v>
      </c>
      <c r="M12" s="4" t="s">
        <v>29</v>
      </c>
      <c r="N12" s="4" t="s">
        <v>84</v>
      </c>
      <c r="O12" s="4" t="s">
        <v>85</v>
      </c>
      <c r="P12" s="4" t="s">
        <v>86</v>
      </c>
      <c r="Q12" s="4" t="s">
        <v>87</v>
      </c>
      <c r="R12" s="3"/>
      <c r="S12" s="3"/>
      <c r="T12" s="3"/>
      <c r="U12" s="3"/>
      <c r="V12" s="3"/>
      <c r="W12" s="3"/>
      <c r="X12" s="3"/>
      <c r="Y12" s="3"/>
      <c r="Z12" s="3"/>
    </row>
    <row r="13">
      <c r="A13" s="4" t="s">
        <v>17</v>
      </c>
      <c r="B13" s="4" t="s">
        <v>81</v>
      </c>
      <c r="C13" s="4" t="s">
        <v>88</v>
      </c>
      <c r="D13" s="4" t="s">
        <v>89</v>
      </c>
      <c r="E13" s="4">
        <v>116.0</v>
      </c>
      <c r="F13" s="4">
        <v>35203.0</v>
      </c>
      <c r="G13" s="4">
        <v>7.0</v>
      </c>
      <c r="H13" s="4">
        <v>9.0</v>
      </c>
      <c r="I13" s="4">
        <v>8.5</v>
      </c>
      <c r="J13" s="4">
        <v>9.0</v>
      </c>
      <c r="K13" s="4">
        <f t="shared" si="1"/>
        <v>10.24666667</v>
      </c>
      <c r="L13" s="4" t="s">
        <v>61</v>
      </c>
      <c r="M13" s="4" t="s">
        <v>77</v>
      </c>
      <c r="N13" s="4" t="s">
        <v>37</v>
      </c>
      <c r="O13" s="4" t="s">
        <v>85</v>
      </c>
      <c r="P13" s="4" t="s">
        <v>90</v>
      </c>
      <c r="Q13" s="4" t="s">
        <v>91</v>
      </c>
      <c r="R13" s="3"/>
      <c r="S13" s="3"/>
      <c r="T13" s="3"/>
      <c r="U13" s="3"/>
      <c r="V13" s="3"/>
      <c r="W13" s="3"/>
      <c r="X13" s="3"/>
      <c r="Y13" s="3"/>
      <c r="Z13" s="3"/>
    </row>
    <row r="14">
      <c r="A14" s="5" t="s">
        <v>92</v>
      </c>
      <c r="B14" s="5" t="s">
        <v>93</v>
      </c>
      <c r="C14" s="5" t="s">
        <v>94</v>
      </c>
      <c r="D14" s="5" t="s">
        <v>95</v>
      </c>
      <c r="E14" s="5">
        <v>115.5</v>
      </c>
      <c r="F14" s="5">
        <v>29180.0</v>
      </c>
      <c r="G14" s="5">
        <v>7.0</v>
      </c>
      <c r="H14" s="5">
        <v>8.5</v>
      </c>
      <c r="I14" s="5">
        <v>9.0</v>
      </c>
      <c r="J14" s="5">
        <v>9.5</v>
      </c>
      <c r="K14" s="5">
        <f t="shared" si="1"/>
        <v>10.395</v>
      </c>
      <c r="L14" s="5" t="s">
        <v>96</v>
      </c>
      <c r="M14" s="5" t="s">
        <v>77</v>
      </c>
      <c r="N14" s="5" t="s">
        <v>51</v>
      </c>
      <c r="O14" s="5" t="s">
        <v>97</v>
      </c>
      <c r="P14" s="5" t="s">
        <v>98</v>
      </c>
      <c r="Q14" s="5" t="s">
        <v>99</v>
      </c>
      <c r="R14" s="3"/>
      <c r="S14" s="3"/>
      <c r="T14" s="3"/>
      <c r="U14" s="3"/>
      <c r="V14" s="3"/>
      <c r="W14" s="3"/>
      <c r="X14" s="3"/>
      <c r="Y14" s="3"/>
      <c r="Z14" s="3"/>
    </row>
    <row r="15">
      <c r="A15" s="5" t="s">
        <v>92</v>
      </c>
      <c r="B15" s="5" t="s">
        <v>100</v>
      </c>
      <c r="C15" s="5" t="s">
        <v>101</v>
      </c>
      <c r="D15" s="5" t="s">
        <v>102</v>
      </c>
      <c r="E15" s="5">
        <v>125.3</v>
      </c>
      <c r="F15" s="5">
        <v>28820.0</v>
      </c>
      <c r="G15" s="5">
        <v>6.0</v>
      </c>
      <c r="H15" s="5">
        <v>7.5</v>
      </c>
      <c r="I15" s="5">
        <v>8.5</v>
      </c>
      <c r="J15" s="5">
        <v>9.5</v>
      </c>
      <c r="K15" s="5">
        <f t="shared" si="1"/>
        <v>10.6505</v>
      </c>
      <c r="L15" s="5" t="s">
        <v>96</v>
      </c>
      <c r="M15" s="5" t="s">
        <v>77</v>
      </c>
      <c r="N15" s="5" t="s">
        <v>51</v>
      </c>
      <c r="O15" s="5" t="s">
        <v>103</v>
      </c>
      <c r="P15" s="5" t="s">
        <v>104</v>
      </c>
      <c r="Q15" s="5" t="s">
        <v>105</v>
      </c>
      <c r="R15" s="3"/>
      <c r="S15" s="3"/>
      <c r="T15" s="3"/>
      <c r="U15" s="3"/>
      <c r="V15" s="3"/>
      <c r="W15" s="3"/>
      <c r="X15" s="3"/>
      <c r="Y15" s="3"/>
      <c r="Z15" s="3"/>
    </row>
    <row r="16">
      <c r="A16" s="5" t="s">
        <v>92</v>
      </c>
      <c r="B16" s="5" t="s">
        <v>100</v>
      </c>
      <c r="C16" s="5" t="s">
        <v>106</v>
      </c>
      <c r="D16" s="5" t="s">
        <v>107</v>
      </c>
      <c r="E16" s="5">
        <v>138.2</v>
      </c>
      <c r="F16" s="5">
        <v>28820.0</v>
      </c>
      <c r="G16" s="5">
        <v>6.0</v>
      </c>
      <c r="H16" s="5">
        <v>7.5</v>
      </c>
      <c r="I16" s="5">
        <v>8.0</v>
      </c>
      <c r="J16" s="5">
        <v>9.5</v>
      </c>
      <c r="K16" s="5">
        <f t="shared" si="1"/>
        <v>11.51666667</v>
      </c>
      <c r="L16" s="5" t="s">
        <v>96</v>
      </c>
      <c r="M16" s="5" t="s">
        <v>108</v>
      </c>
      <c r="N16" s="5" t="s">
        <v>51</v>
      </c>
      <c r="O16" s="5" t="s">
        <v>103</v>
      </c>
      <c r="P16" s="5" t="s">
        <v>109</v>
      </c>
      <c r="Q16" s="5" t="s">
        <v>110</v>
      </c>
      <c r="R16" s="3"/>
      <c r="S16" s="3"/>
      <c r="T16" s="3"/>
      <c r="U16" s="3"/>
      <c r="V16" s="3"/>
      <c r="W16" s="3"/>
      <c r="X16" s="3"/>
      <c r="Y16" s="3"/>
      <c r="Z16" s="3"/>
    </row>
    <row r="17">
      <c r="A17" s="5" t="s">
        <v>92</v>
      </c>
      <c r="B17" s="5" t="s">
        <v>111</v>
      </c>
      <c r="C17" s="5" t="s">
        <v>112</v>
      </c>
      <c r="D17" s="5" t="s">
        <v>113</v>
      </c>
      <c r="E17" s="5">
        <v>135.1</v>
      </c>
      <c r="F17" s="5">
        <v>29280.0</v>
      </c>
      <c r="G17" s="5">
        <v>6.0</v>
      </c>
      <c r="H17" s="5">
        <v>8.5</v>
      </c>
      <c r="I17" s="5">
        <v>8.5</v>
      </c>
      <c r="J17" s="5">
        <v>8.5</v>
      </c>
      <c r="K17" s="5">
        <f t="shared" si="1"/>
        <v>11.4835</v>
      </c>
      <c r="L17" s="5" t="s">
        <v>96</v>
      </c>
      <c r="M17" s="5" t="s">
        <v>77</v>
      </c>
      <c r="N17" s="5" t="s">
        <v>114</v>
      </c>
      <c r="O17" s="5" t="s">
        <v>68</v>
      </c>
      <c r="P17" s="5" t="s">
        <v>115</v>
      </c>
      <c r="Q17" s="5" t="s">
        <v>116</v>
      </c>
      <c r="R17" s="3"/>
      <c r="S17" s="3"/>
      <c r="T17" s="3"/>
      <c r="U17" s="3"/>
      <c r="V17" s="3"/>
      <c r="W17" s="3"/>
      <c r="X17" s="3"/>
      <c r="Y17" s="3"/>
      <c r="Z17" s="3"/>
    </row>
    <row r="18">
      <c r="A18" s="5" t="s">
        <v>92</v>
      </c>
      <c r="B18" s="5" t="s">
        <v>111</v>
      </c>
      <c r="C18" s="5" t="s">
        <v>117</v>
      </c>
      <c r="D18" s="5" t="s">
        <v>118</v>
      </c>
      <c r="E18" s="5">
        <v>135.1</v>
      </c>
      <c r="F18" s="5">
        <v>29280.0</v>
      </c>
      <c r="G18" s="5">
        <v>7.0</v>
      </c>
      <c r="H18" s="5">
        <v>8.5</v>
      </c>
      <c r="I18" s="5">
        <v>7.5</v>
      </c>
      <c r="J18" s="5">
        <v>8.0</v>
      </c>
      <c r="K18" s="5">
        <f t="shared" si="1"/>
        <v>10.808</v>
      </c>
      <c r="L18" s="5" t="s">
        <v>96</v>
      </c>
      <c r="M18" s="5" t="s">
        <v>119</v>
      </c>
      <c r="N18" s="5" t="s">
        <v>120</v>
      </c>
      <c r="O18" s="5" t="s">
        <v>68</v>
      </c>
      <c r="P18" s="5" t="s">
        <v>121</v>
      </c>
      <c r="Q18" s="5" t="s">
        <v>122</v>
      </c>
      <c r="R18" s="3"/>
      <c r="S18" s="3"/>
      <c r="T18" s="3"/>
      <c r="U18" s="3"/>
      <c r="V18" s="3"/>
      <c r="W18" s="3"/>
      <c r="X18" s="3"/>
      <c r="Y18" s="3"/>
      <c r="Z18" s="3"/>
    </row>
    <row r="19">
      <c r="A19" s="5" t="s">
        <v>92</v>
      </c>
      <c r="B19" s="5" t="s">
        <v>123</v>
      </c>
      <c r="C19" s="5" t="s">
        <v>124</v>
      </c>
      <c r="D19" s="5" t="s">
        <v>56</v>
      </c>
      <c r="E19" s="5">
        <v>125.2</v>
      </c>
      <c r="F19" s="5">
        <v>24010.0</v>
      </c>
      <c r="G19" s="5">
        <v>6.0</v>
      </c>
      <c r="H19" s="5">
        <v>7.5</v>
      </c>
      <c r="I19" s="5">
        <v>8.0</v>
      </c>
      <c r="J19" s="5">
        <v>8.5</v>
      </c>
      <c r="K19" s="5">
        <f t="shared" si="1"/>
        <v>10.016</v>
      </c>
      <c r="L19" s="5" t="s">
        <v>96</v>
      </c>
      <c r="M19" s="5" t="s">
        <v>108</v>
      </c>
      <c r="N19" s="5" t="s">
        <v>51</v>
      </c>
      <c r="O19" s="5" t="s">
        <v>125</v>
      </c>
      <c r="P19" s="5" t="s">
        <v>126</v>
      </c>
      <c r="Q19" s="5" t="s">
        <v>127</v>
      </c>
      <c r="R19" s="3"/>
      <c r="S19" s="3"/>
      <c r="T19" s="3"/>
      <c r="U19" s="3"/>
      <c r="V19" s="3"/>
      <c r="W19" s="3"/>
      <c r="X19" s="3"/>
      <c r="Y19" s="3"/>
      <c r="Z19" s="3"/>
    </row>
    <row r="20">
      <c r="A20" s="6" t="s">
        <v>92</v>
      </c>
      <c r="B20" s="6" t="s">
        <v>128</v>
      </c>
      <c r="C20" s="6" t="s">
        <v>129</v>
      </c>
      <c r="D20" s="6" t="s">
        <v>130</v>
      </c>
      <c r="E20" s="6">
        <v>119.7</v>
      </c>
      <c r="F20" s="6">
        <v>27080.0</v>
      </c>
      <c r="G20" s="6">
        <v>8.0</v>
      </c>
      <c r="H20" s="6">
        <v>9.0</v>
      </c>
      <c r="I20" s="6">
        <v>8.0</v>
      </c>
      <c r="J20" s="6">
        <v>9.0</v>
      </c>
      <c r="K20" s="6">
        <f t="shared" si="1"/>
        <v>10.374</v>
      </c>
      <c r="L20" s="6" t="s">
        <v>96</v>
      </c>
      <c r="M20" s="6" t="s">
        <v>108</v>
      </c>
      <c r="N20" s="6" t="s">
        <v>37</v>
      </c>
      <c r="O20" s="6" t="s">
        <v>131</v>
      </c>
      <c r="P20" s="6" t="s">
        <v>132</v>
      </c>
      <c r="Q20" s="6" t="s">
        <v>133</v>
      </c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5" t="s">
        <v>92</v>
      </c>
      <c r="B21" s="5" t="s">
        <v>93</v>
      </c>
      <c r="C21" s="5" t="s">
        <v>134</v>
      </c>
      <c r="D21" s="5" t="s">
        <v>135</v>
      </c>
      <c r="E21" s="5">
        <v>151.6</v>
      </c>
      <c r="F21" s="5">
        <v>29180.0</v>
      </c>
      <c r="G21" s="5">
        <v>7.0</v>
      </c>
      <c r="H21" s="5">
        <v>8.5</v>
      </c>
      <c r="I21" s="5">
        <v>8.0</v>
      </c>
      <c r="J21" s="5">
        <v>9.5</v>
      </c>
      <c r="K21" s="5">
        <f t="shared" si="1"/>
        <v>13.13866667</v>
      </c>
      <c r="L21" s="5" t="s">
        <v>96</v>
      </c>
      <c r="M21" s="5" t="s">
        <v>136</v>
      </c>
      <c r="N21" s="5" t="s">
        <v>51</v>
      </c>
      <c r="O21" s="5" t="s">
        <v>97</v>
      </c>
      <c r="P21" s="5" t="s">
        <v>137</v>
      </c>
      <c r="Q21" s="5" t="s">
        <v>138</v>
      </c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5" t="s">
        <v>92</v>
      </c>
      <c r="B22" s="5" t="s">
        <v>139</v>
      </c>
      <c r="C22" s="5" t="s">
        <v>140</v>
      </c>
      <c r="D22" s="5" t="s">
        <v>141</v>
      </c>
      <c r="E22" s="5">
        <v>142.6</v>
      </c>
      <c r="F22" s="5">
        <v>38929.0</v>
      </c>
      <c r="G22" s="5">
        <v>6.0</v>
      </c>
      <c r="H22" s="5">
        <v>7.5</v>
      </c>
      <c r="I22" s="5">
        <v>7.5</v>
      </c>
      <c r="J22" s="5">
        <v>8.0</v>
      </c>
      <c r="K22" s="5">
        <f t="shared" si="1"/>
        <v>10.93266667</v>
      </c>
      <c r="L22" s="5" t="s">
        <v>96</v>
      </c>
      <c r="M22" s="5" t="s">
        <v>119</v>
      </c>
      <c r="N22" s="5" t="s">
        <v>30</v>
      </c>
      <c r="O22" s="5" t="s">
        <v>142</v>
      </c>
      <c r="P22" s="5" t="s">
        <v>143</v>
      </c>
      <c r="Q22" s="5" t="s">
        <v>144</v>
      </c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8" t="s">
        <v>92</v>
      </c>
      <c r="B23" s="8" t="s">
        <v>145</v>
      </c>
      <c r="C23" s="8" t="s">
        <v>146</v>
      </c>
      <c r="D23" s="8" t="s">
        <v>20</v>
      </c>
      <c r="E23" s="8">
        <v>115.3</v>
      </c>
      <c r="F23" s="8">
        <v>30205.0</v>
      </c>
      <c r="G23" s="8">
        <v>6.0</v>
      </c>
      <c r="H23" s="8">
        <v>7.5</v>
      </c>
      <c r="I23" s="8">
        <v>8.0</v>
      </c>
      <c r="J23" s="8">
        <v>9.0</v>
      </c>
      <c r="K23" s="8">
        <f t="shared" si="1"/>
        <v>9.416166667</v>
      </c>
      <c r="L23" s="8" t="s">
        <v>96</v>
      </c>
      <c r="M23" s="8" t="s">
        <v>108</v>
      </c>
      <c r="N23" s="8" t="s">
        <v>78</v>
      </c>
      <c r="O23" s="8" t="s">
        <v>85</v>
      </c>
      <c r="P23" s="8" t="s">
        <v>147</v>
      </c>
      <c r="Q23" s="8" t="s">
        <v>148</v>
      </c>
      <c r="R23" s="9"/>
      <c r="S23" s="9"/>
      <c r="T23" s="9"/>
      <c r="U23" s="9"/>
      <c r="V23" s="9"/>
      <c r="W23" s="9"/>
      <c r="X23" s="9"/>
      <c r="Y23" s="9"/>
      <c r="Z23" s="9"/>
    </row>
    <row r="24" ht="15.75" customHeight="1">
      <c r="A24" s="6" t="s">
        <v>149</v>
      </c>
      <c r="B24" s="6" t="s">
        <v>41</v>
      </c>
      <c r="C24" s="6" t="s">
        <v>150</v>
      </c>
      <c r="D24" s="6" t="s">
        <v>151</v>
      </c>
      <c r="E24" s="6">
        <v>129.4</v>
      </c>
      <c r="F24" s="6">
        <v>29510.0</v>
      </c>
      <c r="G24" s="6">
        <v>7.0</v>
      </c>
      <c r="H24" s="6">
        <v>8.0</v>
      </c>
      <c r="I24" s="6">
        <v>9.0</v>
      </c>
      <c r="J24" s="6">
        <v>9.0</v>
      </c>
      <c r="K24" s="6">
        <f t="shared" si="1"/>
        <v>11.21466667</v>
      </c>
      <c r="L24" s="6" t="s">
        <v>152</v>
      </c>
      <c r="M24" s="6" t="s">
        <v>108</v>
      </c>
      <c r="N24" s="6" t="s">
        <v>153</v>
      </c>
      <c r="O24" s="6" t="s">
        <v>24</v>
      </c>
      <c r="P24" s="6" t="s">
        <v>154</v>
      </c>
      <c r="Q24" s="6" t="s">
        <v>155</v>
      </c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10" t="s">
        <v>149</v>
      </c>
      <c r="B25" s="10" t="s">
        <v>156</v>
      </c>
      <c r="C25" s="10" t="s">
        <v>157</v>
      </c>
      <c r="D25" s="10" t="s">
        <v>158</v>
      </c>
      <c r="E25" s="10">
        <v>118.5</v>
      </c>
      <c r="F25" s="10">
        <v>24330.0</v>
      </c>
      <c r="G25" s="10">
        <v>6.0</v>
      </c>
      <c r="H25" s="10">
        <v>7.0</v>
      </c>
      <c r="I25" s="10">
        <v>9.5</v>
      </c>
      <c r="J25" s="10">
        <v>8.5</v>
      </c>
      <c r="K25" s="10">
        <f t="shared" si="1"/>
        <v>9.875</v>
      </c>
      <c r="L25" s="10" t="s">
        <v>152</v>
      </c>
      <c r="M25" s="10" t="s">
        <v>108</v>
      </c>
      <c r="N25" s="10" t="s">
        <v>23</v>
      </c>
      <c r="O25" s="10" t="s">
        <v>159</v>
      </c>
      <c r="P25" s="10" t="s">
        <v>160</v>
      </c>
      <c r="Q25" s="10" t="s">
        <v>161</v>
      </c>
      <c r="R25" s="9"/>
      <c r="S25" s="9"/>
      <c r="T25" s="9"/>
      <c r="U25" s="9"/>
      <c r="V25" s="9"/>
      <c r="W25" s="9"/>
      <c r="X25" s="9"/>
      <c r="Y25" s="9"/>
      <c r="Z25" s="9"/>
    </row>
    <row r="26" ht="15.75" customHeight="1">
      <c r="A26" s="8" t="s">
        <v>149</v>
      </c>
      <c r="B26" s="8" t="s">
        <v>162</v>
      </c>
      <c r="C26" s="8" t="s">
        <v>163</v>
      </c>
      <c r="D26" s="8" t="s">
        <v>164</v>
      </c>
      <c r="E26" s="8">
        <v>77.8</v>
      </c>
      <c r="F26" s="8">
        <v>24080.0</v>
      </c>
      <c r="G26" s="8">
        <v>5.0</v>
      </c>
      <c r="H26" s="8">
        <v>7.0</v>
      </c>
      <c r="I26" s="8">
        <v>9.5</v>
      </c>
      <c r="J26" s="8">
        <v>8.0</v>
      </c>
      <c r="K26" s="8">
        <f t="shared" si="1"/>
        <v>6.353666667</v>
      </c>
      <c r="L26" s="8" t="s">
        <v>152</v>
      </c>
      <c r="M26" s="8" t="s">
        <v>119</v>
      </c>
      <c r="N26" s="8" t="s">
        <v>78</v>
      </c>
      <c r="O26" s="8" t="s">
        <v>165</v>
      </c>
      <c r="P26" s="8" t="s">
        <v>166</v>
      </c>
      <c r="Q26" s="8" t="s">
        <v>167</v>
      </c>
      <c r="R26" s="9"/>
      <c r="S26" s="9"/>
      <c r="T26" s="9"/>
      <c r="U26" s="9"/>
      <c r="V26" s="9"/>
      <c r="W26" s="9"/>
      <c r="X26" s="9"/>
      <c r="Y26" s="9"/>
      <c r="Z26" s="9"/>
    </row>
    <row r="27" ht="15.75" customHeight="1">
      <c r="A27" s="10" t="s">
        <v>149</v>
      </c>
      <c r="B27" s="10" t="s">
        <v>34</v>
      </c>
      <c r="C27" s="10" t="s">
        <v>168</v>
      </c>
      <c r="D27" s="10" t="s">
        <v>169</v>
      </c>
      <c r="E27" s="10">
        <v>123.4</v>
      </c>
      <c r="F27" s="10">
        <v>45750.0</v>
      </c>
      <c r="G27" s="10">
        <v>8.0</v>
      </c>
      <c r="H27" s="10">
        <v>9.5</v>
      </c>
      <c r="I27" s="10">
        <v>7.0</v>
      </c>
      <c r="J27" s="10">
        <v>8.5</v>
      </c>
      <c r="K27" s="10">
        <f t="shared" si="1"/>
        <v>10.28333333</v>
      </c>
      <c r="L27" s="10" t="s">
        <v>152</v>
      </c>
      <c r="M27" s="10" t="s">
        <v>119</v>
      </c>
      <c r="N27" s="10" t="s">
        <v>78</v>
      </c>
      <c r="O27" s="10" t="s">
        <v>38</v>
      </c>
      <c r="P27" s="10" t="s">
        <v>170</v>
      </c>
      <c r="Q27" s="10" t="s">
        <v>171</v>
      </c>
      <c r="R27" s="9"/>
      <c r="S27" s="9"/>
      <c r="T27" s="9"/>
      <c r="U27" s="9"/>
      <c r="V27" s="9"/>
      <c r="W27" s="9"/>
      <c r="X27" s="9"/>
      <c r="Y27" s="9"/>
      <c r="Z27" s="9"/>
    </row>
    <row r="28" ht="15.75" customHeight="1">
      <c r="A28" s="10" t="s">
        <v>149</v>
      </c>
      <c r="B28" s="10" t="s">
        <v>47</v>
      </c>
      <c r="C28" s="10" t="s">
        <v>172</v>
      </c>
      <c r="D28" s="10" t="s">
        <v>173</v>
      </c>
      <c r="E28" s="10">
        <v>144.1</v>
      </c>
      <c r="F28" s="10">
        <v>35890.0</v>
      </c>
      <c r="G28" s="10">
        <v>7.0</v>
      </c>
      <c r="H28" s="10">
        <v>8.5</v>
      </c>
      <c r="I28" s="10">
        <v>8.0</v>
      </c>
      <c r="J28" s="10">
        <v>9.5</v>
      </c>
      <c r="K28" s="10">
        <f t="shared" si="1"/>
        <v>12.48866667</v>
      </c>
      <c r="L28" s="10" t="s">
        <v>152</v>
      </c>
      <c r="M28" s="10" t="s">
        <v>119</v>
      </c>
      <c r="N28" s="10" t="s">
        <v>51</v>
      </c>
      <c r="O28" s="10" t="s">
        <v>52</v>
      </c>
      <c r="P28" s="10" t="s">
        <v>174</v>
      </c>
      <c r="Q28" s="10" t="s">
        <v>175</v>
      </c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10" t="s">
        <v>149</v>
      </c>
      <c r="B29" s="10" t="s">
        <v>93</v>
      </c>
      <c r="C29" s="10" t="s">
        <v>176</v>
      </c>
      <c r="D29" s="10" t="s">
        <v>173</v>
      </c>
      <c r="E29" s="10">
        <v>125.6</v>
      </c>
      <c r="F29" s="10">
        <v>29180.0</v>
      </c>
      <c r="G29" s="10">
        <v>7.0</v>
      </c>
      <c r="H29" s="10">
        <v>8.0</v>
      </c>
      <c r="I29" s="10">
        <v>8.0</v>
      </c>
      <c r="J29" s="10">
        <v>9.5</v>
      </c>
      <c r="K29" s="10">
        <f t="shared" si="1"/>
        <v>10.676</v>
      </c>
      <c r="L29" s="10" t="s">
        <v>152</v>
      </c>
      <c r="M29" s="10" t="s">
        <v>119</v>
      </c>
      <c r="N29" s="10" t="s">
        <v>51</v>
      </c>
      <c r="O29" s="10" t="s">
        <v>97</v>
      </c>
      <c r="P29" s="10" t="s">
        <v>137</v>
      </c>
      <c r="Q29" s="10" t="s">
        <v>177</v>
      </c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A7A4E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2.0"/>
    <col customWidth="1" min="2" max="13" width="6.0"/>
    <col customWidth="1" min="14" max="14" width="12.0"/>
    <col customWidth="1" min="15" max="15" width="45.0"/>
    <col customWidth="1" min="16" max="26" width="8.71"/>
  </cols>
  <sheetData>
    <row r="1">
      <c r="A1" s="11" t="s">
        <v>178</v>
      </c>
    </row>
    <row r="2">
      <c r="A2" s="12" t="s">
        <v>179</v>
      </c>
    </row>
    <row r="4">
      <c r="A4" s="13" t="s">
        <v>180</v>
      </c>
      <c r="B4" s="13" t="s">
        <v>181</v>
      </c>
      <c r="C4" s="13" t="s">
        <v>182</v>
      </c>
      <c r="D4" s="13" t="s">
        <v>183</v>
      </c>
      <c r="E4" s="13" t="s">
        <v>184</v>
      </c>
      <c r="F4" s="13" t="s">
        <v>185</v>
      </c>
      <c r="G4" s="13" t="s">
        <v>186</v>
      </c>
      <c r="H4" s="13" t="s">
        <v>187</v>
      </c>
      <c r="I4" s="13" t="s">
        <v>188</v>
      </c>
      <c r="J4" s="13" t="s">
        <v>189</v>
      </c>
      <c r="K4" s="13" t="s">
        <v>190</v>
      </c>
      <c r="L4" s="13" t="s">
        <v>191</v>
      </c>
      <c r="M4" s="13" t="s">
        <v>192</v>
      </c>
      <c r="N4" s="13" t="s">
        <v>193</v>
      </c>
      <c r="O4" s="13" t="s">
        <v>16</v>
      </c>
    </row>
    <row r="5">
      <c r="A5" s="14" t="s">
        <v>18</v>
      </c>
      <c r="B5" s="15">
        <v>8.0</v>
      </c>
      <c r="C5" s="16">
        <v>7.0</v>
      </c>
      <c r="D5" s="16">
        <v>5.0</v>
      </c>
      <c r="E5" s="14">
        <v>2.0</v>
      </c>
      <c r="F5" s="17">
        <v>0.0</v>
      </c>
      <c r="G5" s="17">
        <v>0.0</v>
      </c>
      <c r="H5" s="17">
        <v>1.0</v>
      </c>
      <c r="I5" s="14">
        <v>3.0</v>
      </c>
      <c r="J5" s="16">
        <v>7.0</v>
      </c>
      <c r="K5" s="15">
        <v>9.0</v>
      </c>
      <c r="L5" s="15">
        <v>10.0</v>
      </c>
      <c r="M5" s="15">
        <v>10.0</v>
      </c>
      <c r="N5" s="14" t="s">
        <v>194</v>
      </c>
      <c r="O5" s="14" t="s">
        <v>195</v>
      </c>
    </row>
    <row r="6">
      <c r="A6" s="14" t="s">
        <v>34</v>
      </c>
      <c r="B6" s="15">
        <v>9.0</v>
      </c>
      <c r="C6" s="15">
        <v>8.0</v>
      </c>
      <c r="D6" s="16">
        <v>7.0</v>
      </c>
      <c r="E6" s="14">
        <v>4.0</v>
      </c>
      <c r="F6" s="17">
        <v>1.0</v>
      </c>
      <c r="G6" s="17">
        <v>0.0</v>
      </c>
      <c r="H6" s="17">
        <v>0.0</v>
      </c>
      <c r="I6" s="14">
        <v>2.0</v>
      </c>
      <c r="J6" s="16">
        <v>6.0</v>
      </c>
      <c r="K6" s="15">
        <v>9.0</v>
      </c>
      <c r="L6" s="15">
        <v>10.0</v>
      </c>
      <c r="M6" s="15">
        <v>10.0</v>
      </c>
      <c r="N6" s="14" t="s">
        <v>196</v>
      </c>
      <c r="O6" s="14" t="s">
        <v>197</v>
      </c>
    </row>
    <row r="7">
      <c r="A7" s="14" t="s">
        <v>198</v>
      </c>
      <c r="B7" s="15">
        <v>8.0</v>
      </c>
      <c r="C7" s="16">
        <v>7.0</v>
      </c>
      <c r="D7" s="16">
        <v>5.0</v>
      </c>
      <c r="E7" s="14">
        <v>2.0</v>
      </c>
      <c r="F7" s="17">
        <v>0.0</v>
      </c>
      <c r="G7" s="17">
        <v>0.0</v>
      </c>
      <c r="H7" s="17">
        <v>1.0</v>
      </c>
      <c r="I7" s="14">
        <v>3.0</v>
      </c>
      <c r="J7" s="16">
        <v>7.0</v>
      </c>
      <c r="K7" s="15">
        <v>9.0</v>
      </c>
      <c r="L7" s="15">
        <v>10.0</v>
      </c>
      <c r="M7" s="15">
        <v>10.0</v>
      </c>
      <c r="N7" s="14" t="s">
        <v>194</v>
      </c>
      <c r="O7" s="14" t="s">
        <v>199</v>
      </c>
    </row>
    <row r="8">
      <c r="A8" s="14" t="s">
        <v>200</v>
      </c>
      <c r="B8" s="15">
        <v>8.0</v>
      </c>
      <c r="C8" s="16">
        <v>7.0</v>
      </c>
      <c r="D8" s="16">
        <v>6.0</v>
      </c>
      <c r="E8" s="14">
        <v>3.0</v>
      </c>
      <c r="F8" s="17">
        <v>1.0</v>
      </c>
      <c r="G8" s="17">
        <v>0.0</v>
      </c>
      <c r="H8" s="17">
        <v>0.0</v>
      </c>
      <c r="I8" s="14">
        <v>2.0</v>
      </c>
      <c r="J8" s="16">
        <v>6.0</v>
      </c>
      <c r="K8" s="15">
        <v>9.0</v>
      </c>
      <c r="L8" s="15">
        <v>10.0</v>
      </c>
      <c r="M8" s="15">
        <v>10.0</v>
      </c>
      <c r="N8" s="14" t="s">
        <v>201</v>
      </c>
      <c r="O8" s="14" t="s">
        <v>202</v>
      </c>
    </row>
    <row r="9">
      <c r="A9" s="14" t="s">
        <v>203</v>
      </c>
      <c r="B9" s="15">
        <v>8.0</v>
      </c>
      <c r="C9" s="16">
        <v>7.0</v>
      </c>
      <c r="D9" s="16">
        <v>6.0</v>
      </c>
      <c r="E9" s="14">
        <v>3.0</v>
      </c>
      <c r="F9" s="17">
        <v>1.0</v>
      </c>
      <c r="G9" s="17">
        <v>0.0</v>
      </c>
      <c r="H9" s="17">
        <v>0.0</v>
      </c>
      <c r="I9" s="14">
        <v>2.0</v>
      </c>
      <c r="J9" s="16">
        <v>6.0</v>
      </c>
      <c r="K9" s="15">
        <v>9.0</v>
      </c>
      <c r="L9" s="15">
        <v>10.0</v>
      </c>
      <c r="M9" s="15">
        <v>10.0</v>
      </c>
      <c r="N9" s="14" t="s">
        <v>201</v>
      </c>
      <c r="O9" s="14" t="s">
        <v>204</v>
      </c>
    </row>
    <row r="10">
      <c r="A10" s="14" t="s">
        <v>205</v>
      </c>
      <c r="B10" s="15">
        <v>9.0</v>
      </c>
      <c r="C10" s="15">
        <v>8.0</v>
      </c>
      <c r="D10" s="16">
        <v>7.0</v>
      </c>
      <c r="E10" s="14">
        <v>3.0</v>
      </c>
      <c r="F10" s="17">
        <v>1.0</v>
      </c>
      <c r="G10" s="17">
        <v>0.0</v>
      </c>
      <c r="H10" s="17">
        <v>0.0</v>
      </c>
      <c r="I10" s="14">
        <v>2.0</v>
      </c>
      <c r="J10" s="16">
        <v>6.0</v>
      </c>
      <c r="K10" s="15">
        <v>9.0</v>
      </c>
      <c r="L10" s="15">
        <v>10.0</v>
      </c>
      <c r="M10" s="15">
        <v>10.0</v>
      </c>
      <c r="N10" s="14" t="s">
        <v>206</v>
      </c>
      <c r="O10" s="14" t="s">
        <v>207</v>
      </c>
    </row>
    <row r="11">
      <c r="A11" s="14" t="s">
        <v>208</v>
      </c>
      <c r="B11" s="16">
        <v>7.0</v>
      </c>
      <c r="C11" s="16">
        <v>6.0</v>
      </c>
      <c r="D11" s="14">
        <v>4.0</v>
      </c>
      <c r="E11" s="14">
        <v>2.0</v>
      </c>
      <c r="F11" s="17">
        <v>0.0</v>
      </c>
      <c r="G11" s="17">
        <v>0.0</v>
      </c>
      <c r="H11" s="17">
        <v>0.0</v>
      </c>
      <c r="I11" s="14">
        <v>2.0</v>
      </c>
      <c r="J11" s="16">
        <v>5.0</v>
      </c>
      <c r="K11" s="15">
        <v>8.0</v>
      </c>
      <c r="L11" s="15">
        <v>10.0</v>
      </c>
      <c r="M11" s="15">
        <v>10.0</v>
      </c>
      <c r="N11" s="14" t="s">
        <v>209</v>
      </c>
      <c r="O11" s="14" t="s">
        <v>210</v>
      </c>
    </row>
    <row r="12">
      <c r="A12" s="14" t="s">
        <v>88</v>
      </c>
      <c r="B12" s="15">
        <v>8.0</v>
      </c>
      <c r="C12" s="16">
        <v>7.0</v>
      </c>
      <c r="D12" s="16">
        <v>6.0</v>
      </c>
      <c r="E12" s="14">
        <v>3.0</v>
      </c>
      <c r="F12" s="17">
        <v>1.0</v>
      </c>
      <c r="G12" s="17">
        <v>0.0</v>
      </c>
      <c r="H12" s="17">
        <v>0.0</v>
      </c>
      <c r="I12" s="14">
        <v>2.0</v>
      </c>
      <c r="J12" s="16">
        <v>6.0</v>
      </c>
      <c r="K12" s="15">
        <v>9.0</v>
      </c>
      <c r="L12" s="15">
        <v>10.0</v>
      </c>
      <c r="M12" s="15">
        <v>10.0</v>
      </c>
      <c r="N12" s="14" t="s">
        <v>206</v>
      </c>
      <c r="O12" s="14" t="s">
        <v>211</v>
      </c>
    </row>
    <row r="13">
      <c r="A13" s="14" t="s">
        <v>212</v>
      </c>
      <c r="B13" s="15">
        <v>9.0</v>
      </c>
      <c r="C13" s="15">
        <v>9.0</v>
      </c>
      <c r="D13" s="15">
        <v>8.0</v>
      </c>
      <c r="E13" s="14">
        <v>4.0</v>
      </c>
      <c r="F13" s="17">
        <v>1.0</v>
      </c>
      <c r="G13" s="17">
        <v>0.0</v>
      </c>
      <c r="H13" s="17">
        <v>0.0</v>
      </c>
      <c r="I13" s="14">
        <v>2.0</v>
      </c>
      <c r="J13" s="16">
        <v>6.0</v>
      </c>
      <c r="K13" s="15">
        <v>9.0</v>
      </c>
      <c r="L13" s="15">
        <v>10.0</v>
      </c>
      <c r="M13" s="15">
        <v>10.0</v>
      </c>
      <c r="N13" s="14" t="s">
        <v>213</v>
      </c>
      <c r="O13" s="14" t="s">
        <v>214</v>
      </c>
    </row>
    <row r="14">
      <c r="A14" s="14" t="s">
        <v>215</v>
      </c>
      <c r="B14" s="16">
        <v>7.0</v>
      </c>
      <c r="C14" s="16">
        <v>6.0</v>
      </c>
      <c r="D14" s="14">
        <v>4.0</v>
      </c>
      <c r="E14" s="14">
        <v>2.0</v>
      </c>
      <c r="F14" s="17">
        <v>0.0</v>
      </c>
      <c r="G14" s="17">
        <v>0.0</v>
      </c>
      <c r="H14" s="17">
        <v>0.0</v>
      </c>
      <c r="I14" s="14">
        <v>2.0</v>
      </c>
      <c r="J14" s="16">
        <v>5.0</v>
      </c>
      <c r="K14" s="15">
        <v>8.0</v>
      </c>
      <c r="L14" s="15">
        <v>10.0</v>
      </c>
      <c r="M14" s="15">
        <v>10.0</v>
      </c>
      <c r="N14" s="14" t="s">
        <v>209</v>
      </c>
      <c r="O14" s="14" t="s">
        <v>216</v>
      </c>
    </row>
    <row r="15">
      <c r="A15" s="14" t="s">
        <v>217</v>
      </c>
      <c r="B15" s="15">
        <v>8.0</v>
      </c>
      <c r="C15" s="16">
        <v>7.0</v>
      </c>
      <c r="D15" s="16">
        <v>5.0</v>
      </c>
      <c r="E15" s="14">
        <v>2.0</v>
      </c>
      <c r="F15" s="17">
        <v>0.0</v>
      </c>
      <c r="G15" s="17">
        <v>0.0</v>
      </c>
      <c r="H15" s="17">
        <v>1.0</v>
      </c>
      <c r="I15" s="14">
        <v>3.0</v>
      </c>
      <c r="J15" s="16">
        <v>7.0</v>
      </c>
      <c r="K15" s="15">
        <v>9.0</v>
      </c>
      <c r="L15" s="15">
        <v>10.0</v>
      </c>
      <c r="M15" s="15">
        <v>10.0</v>
      </c>
      <c r="N15" s="14" t="s">
        <v>194</v>
      </c>
      <c r="O15" s="14" t="s">
        <v>218</v>
      </c>
    </row>
    <row r="16">
      <c r="A16" s="14" t="s">
        <v>219</v>
      </c>
      <c r="B16" s="16">
        <v>6.0</v>
      </c>
      <c r="C16" s="16">
        <v>5.0</v>
      </c>
      <c r="D16" s="14">
        <v>3.0</v>
      </c>
      <c r="E16" s="17">
        <v>1.0</v>
      </c>
      <c r="F16" s="17">
        <v>0.0</v>
      </c>
      <c r="G16" s="17">
        <v>0.0</v>
      </c>
      <c r="H16" s="17">
        <v>0.0</v>
      </c>
      <c r="I16" s="14">
        <v>2.0</v>
      </c>
      <c r="J16" s="16">
        <v>5.0</v>
      </c>
      <c r="K16" s="15">
        <v>8.0</v>
      </c>
      <c r="L16" s="15">
        <v>10.0</v>
      </c>
      <c r="M16" s="15">
        <v>9.0</v>
      </c>
      <c r="N16" s="14" t="s">
        <v>209</v>
      </c>
      <c r="O16" s="14" t="s">
        <v>220</v>
      </c>
    </row>
    <row r="17">
      <c r="A17" s="14" t="s">
        <v>221</v>
      </c>
      <c r="B17" s="16">
        <v>7.0</v>
      </c>
      <c r="C17" s="16">
        <v>6.0</v>
      </c>
      <c r="D17" s="16">
        <v>5.0</v>
      </c>
      <c r="E17" s="14">
        <v>3.0</v>
      </c>
      <c r="F17" s="17">
        <v>1.0</v>
      </c>
      <c r="G17" s="17">
        <v>0.0</v>
      </c>
      <c r="H17" s="17">
        <v>0.0</v>
      </c>
      <c r="I17" s="14">
        <v>2.0</v>
      </c>
      <c r="J17" s="16">
        <v>5.0</v>
      </c>
      <c r="K17" s="15">
        <v>8.0</v>
      </c>
      <c r="L17" s="15">
        <v>10.0</v>
      </c>
      <c r="M17" s="15">
        <v>10.0</v>
      </c>
      <c r="N17" s="14" t="s">
        <v>194</v>
      </c>
      <c r="O17" s="14" t="s">
        <v>222</v>
      </c>
    </row>
    <row r="18">
      <c r="A18" s="14" t="s">
        <v>223</v>
      </c>
      <c r="B18" s="14"/>
      <c r="C18" s="14"/>
      <c r="D18" s="14"/>
      <c r="E18" s="14"/>
      <c r="F18" s="14"/>
      <c r="G18" s="14"/>
      <c r="H18" s="14" t="s">
        <v>224</v>
      </c>
      <c r="I18" s="14" t="s">
        <v>225</v>
      </c>
      <c r="J18" s="14" t="s">
        <v>226</v>
      </c>
      <c r="K18" s="14" t="s">
        <v>227</v>
      </c>
      <c r="L18" s="14" t="s">
        <v>227</v>
      </c>
      <c r="M18" s="14"/>
      <c r="N18" s="14"/>
    </row>
    <row r="19">
      <c r="A19" s="14" t="s">
        <v>228</v>
      </c>
      <c r="B19" s="14" t="s">
        <v>229</v>
      </c>
      <c r="C19" s="14" t="s">
        <v>229</v>
      </c>
      <c r="D19" s="14" t="s">
        <v>230</v>
      </c>
      <c r="E19" s="14" t="s">
        <v>230</v>
      </c>
      <c r="F19" s="14" t="s">
        <v>230</v>
      </c>
      <c r="G19" s="14" t="s">
        <v>230</v>
      </c>
      <c r="H19" s="14" t="s">
        <v>231</v>
      </c>
      <c r="I19" s="14" t="s">
        <v>226</v>
      </c>
      <c r="J19" s="14" t="s">
        <v>227</v>
      </c>
      <c r="K19" s="14" t="s">
        <v>227</v>
      </c>
      <c r="L19" s="14" t="s">
        <v>227</v>
      </c>
      <c r="M19" s="14"/>
      <c r="N19" s="14" t="s">
        <v>232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A5E8A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30.0"/>
    <col customWidth="1" min="2" max="2" width="5.0"/>
    <col customWidth="1" min="3" max="7" width="14.0"/>
    <col customWidth="1" min="8" max="8" width="10.0"/>
    <col customWidth="1" min="9" max="11" width="14.0"/>
    <col customWidth="1" min="12" max="12" width="10.0"/>
    <col customWidth="1" min="13" max="26" width="8.71"/>
  </cols>
  <sheetData>
    <row r="1">
      <c r="A1" s="11" t="s">
        <v>233</v>
      </c>
    </row>
    <row r="2">
      <c r="A2" s="12" t="s">
        <v>234</v>
      </c>
    </row>
    <row r="4">
      <c r="A4" s="13" t="s">
        <v>180</v>
      </c>
      <c r="B4" s="13" t="s">
        <v>0</v>
      </c>
      <c r="C4" s="13" t="s">
        <v>235</v>
      </c>
      <c r="D4" s="13" t="s">
        <v>236</v>
      </c>
      <c r="E4" s="13" t="s">
        <v>237</v>
      </c>
      <c r="F4" s="13" t="s">
        <v>238</v>
      </c>
      <c r="G4" s="13" t="s">
        <v>239</v>
      </c>
      <c r="H4" s="13" t="s">
        <v>240</v>
      </c>
      <c r="I4" s="13" t="s">
        <v>241</v>
      </c>
      <c r="J4" s="13" t="s">
        <v>242</v>
      </c>
      <c r="K4" s="13" t="s">
        <v>243</v>
      </c>
      <c r="L4" s="13" t="s">
        <v>244</v>
      </c>
    </row>
    <row r="5">
      <c r="A5" s="18" t="s">
        <v>245</v>
      </c>
      <c r="B5" s="18" t="s">
        <v>17</v>
      </c>
      <c r="C5" s="19">
        <v>1000.0</v>
      </c>
      <c r="D5" s="19">
        <v>600.0</v>
      </c>
      <c r="E5" s="19">
        <v>1400.0</v>
      </c>
      <c r="F5" s="19">
        <v>500.0</v>
      </c>
      <c r="G5" s="19">
        <f t="shared" ref="G5:G22" si="1">SUM(C5:F5)</f>
        <v>3500</v>
      </c>
      <c r="H5" s="20">
        <f t="shared" ref="H5:H22" si="2">G5/G$23</f>
        <v>0.1126669886</v>
      </c>
      <c r="I5" s="21">
        <f t="shared" ref="I5:I22" si="3">ROUND(C5/1.1,0)</f>
        <v>909</v>
      </c>
      <c r="J5" s="21">
        <f t="shared" ref="J5:J22" si="4">ROUND((D5+E5+F5)/45,0)</f>
        <v>56</v>
      </c>
      <c r="K5" s="19">
        <f t="shared" ref="K5:K22" si="5">J5*350</f>
        <v>19600</v>
      </c>
      <c r="L5" s="18" t="s">
        <v>246</v>
      </c>
    </row>
    <row r="6">
      <c r="A6" s="18" t="s">
        <v>247</v>
      </c>
      <c r="B6" s="18" t="s">
        <v>17</v>
      </c>
      <c r="C6" s="19">
        <v>750.0</v>
      </c>
      <c r="D6" s="19">
        <v>450.0</v>
      </c>
      <c r="E6" s="19">
        <v>1050.0</v>
      </c>
      <c r="F6" s="19">
        <v>375.0</v>
      </c>
      <c r="G6" s="19">
        <f t="shared" si="1"/>
        <v>2625</v>
      </c>
      <c r="H6" s="20">
        <f t="shared" si="2"/>
        <v>0.08450024143</v>
      </c>
      <c r="I6" s="21">
        <f t="shared" si="3"/>
        <v>682</v>
      </c>
      <c r="J6" s="21">
        <f t="shared" si="4"/>
        <v>42</v>
      </c>
      <c r="K6" s="19">
        <f t="shared" si="5"/>
        <v>14700</v>
      </c>
      <c r="L6" s="18" t="s">
        <v>246</v>
      </c>
    </row>
    <row r="7">
      <c r="A7" s="18" t="s">
        <v>248</v>
      </c>
      <c r="B7" s="18" t="s">
        <v>17</v>
      </c>
      <c r="C7" s="19">
        <v>750.0</v>
      </c>
      <c r="D7" s="19">
        <v>450.0</v>
      </c>
      <c r="E7" s="19">
        <v>1050.0</v>
      </c>
      <c r="F7" s="19">
        <v>375.0</v>
      </c>
      <c r="G7" s="19">
        <f t="shared" si="1"/>
        <v>2625</v>
      </c>
      <c r="H7" s="20">
        <f t="shared" si="2"/>
        <v>0.08450024143</v>
      </c>
      <c r="I7" s="21">
        <f t="shared" si="3"/>
        <v>682</v>
      </c>
      <c r="J7" s="21">
        <f t="shared" si="4"/>
        <v>42</v>
      </c>
      <c r="K7" s="19">
        <f t="shared" si="5"/>
        <v>14700</v>
      </c>
      <c r="L7" s="18" t="s">
        <v>246</v>
      </c>
    </row>
    <row r="8">
      <c r="A8" s="18" t="s">
        <v>249</v>
      </c>
      <c r="B8" s="18" t="s">
        <v>17</v>
      </c>
      <c r="C8" s="19">
        <v>1000.0</v>
      </c>
      <c r="D8" s="19">
        <v>600.0</v>
      </c>
      <c r="E8" s="19">
        <v>1400.0</v>
      </c>
      <c r="F8" s="19">
        <v>500.0</v>
      </c>
      <c r="G8" s="19">
        <f t="shared" si="1"/>
        <v>3500</v>
      </c>
      <c r="H8" s="20">
        <f t="shared" si="2"/>
        <v>0.1126669886</v>
      </c>
      <c r="I8" s="21">
        <f t="shared" si="3"/>
        <v>909</v>
      </c>
      <c r="J8" s="21">
        <f t="shared" si="4"/>
        <v>56</v>
      </c>
      <c r="K8" s="19">
        <f t="shared" si="5"/>
        <v>19600</v>
      </c>
      <c r="L8" s="18" t="s">
        <v>250</v>
      </c>
    </row>
    <row r="9">
      <c r="A9" s="18" t="s">
        <v>251</v>
      </c>
      <c r="B9" s="18" t="s">
        <v>17</v>
      </c>
      <c r="C9" s="19">
        <v>625.0</v>
      </c>
      <c r="D9" s="19">
        <v>375.0</v>
      </c>
      <c r="E9" s="19">
        <v>875.0</v>
      </c>
      <c r="F9" s="19">
        <v>310.0</v>
      </c>
      <c r="G9" s="19">
        <f t="shared" si="1"/>
        <v>2185</v>
      </c>
      <c r="H9" s="20">
        <f t="shared" si="2"/>
        <v>0.07033639144</v>
      </c>
      <c r="I9" s="21">
        <f t="shared" si="3"/>
        <v>568</v>
      </c>
      <c r="J9" s="21">
        <f t="shared" si="4"/>
        <v>35</v>
      </c>
      <c r="K9" s="19">
        <f t="shared" si="5"/>
        <v>12250</v>
      </c>
      <c r="L9" s="18" t="s">
        <v>246</v>
      </c>
    </row>
    <row r="10">
      <c r="A10" s="18" t="s">
        <v>252</v>
      </c>
      <c r="B10" s="18" t="s">
        <v>17</v>
      </c>
      <c r="C10" s="19">
        <v>625.0</v>
      </c>
      <c r="D10" s="19">
        <v>375.0</v>
      </c>
      <c r="E10" s="19">
        <v>875.0</v>
      </c>
      <c r="F10" s="19">
        <v>310.0</v>
      </c>
      <c r="G10" s="19">
        <f t="shared" si="1"/>
        <v>2185</v>
      </c>
      <c r="H10" s="20">
        <f t="shared" si="2"/>
        <v>0.07033639144</v>
      </c>
      <c r="I10" s="21">
        <f t="shared" si="3"/>
        <v>568</v>
      </c>
      <c r="J10" s="21">
        <f t="shared" si="4"/>
        <v>35</v>
      </c>
      <c r="K10" s="19">
        <f t="shared" si="5"/>
        <v>12250</v>
      </c>
      <c r="L10" s="18" t="s">
        <v>250</v>
      </c>
    </row>
    <row r="11">
      <c r="A11" s="18" t="s">
        <v>253</v>
      </c>
      <c r="B11" s="18" t="s">
        <v>17</v>
      </c>
      <c r="C11" s="19">
        <v>500.0</v>
      </c>
      <c r="D11" s="19">
        <v>300.0</v>
      </c>
      <c r="E11" s="19">
        <v>700.0</v>
      </c>
      <c r="F11" s="19">
        <v>250.0</v>
      </c>
      <c r="G11" s="19">
        <f t="shared" si="1"/>
        <v>1750</v>
      </c>
      <c r="H11" s="20">
        <f t="shared" si="2"/>
        <v>0.05633349429</v>
      </c>
      <c r="I11" s="21">
        <f t="shared" si="3"/>
        <v>455</v>
      </c>
      <c r="J11" s="21">
        <f t="shared" si="4"/>
        <v>28</v>
      </c>
      <c r="K11" s="19">
        <f t="shared" si="5"/>
        <v>9800</v>
      </c>
      <c r="L11" s="18" t="s">
        <v>250</v>
      </c>
    </row>
    <row r="12">
      <c r="A12" s="18" t="s">
        <v>254</v>
      </c>
      <c r="B12" s="18" t="s">
        <v>17</v>
      </c>
      <c r="C12" s="19">
        <v>750.0</v>
      </c>
      <c r="D12" s="19">
        <v>450.0</v>
      </c>
      <c r="E12" s="19">
        <v>1050.0</v>
      </c>
      <c r="F12" s="19">
        <v>375.0</v>
      </c>
      <c r="G12" s="19">
        <f t="shared" si="1"/>
        <v>2625</v>
      </c>
      <c r="H12" s="20">
        <f t="shared" si="2"/>
        <v>0.08450024143</v>
      </c>
      <c r="I12" s="21">
        <f t="shared" si="3"/>
        <v>682</v>
      </c>
      <c r="J12" s="21">
        <f t="shared" si="4"/>
        <v>42</v>
      </c>
      <c r="K12" s="19">
        <f t="shared" si="5"/>
        <v>14700</v>
      </c>
      <c r="L12" s="18" t="s">
        <v>255</v>
      </c>
    </row>
    <row r="13">
      <c r="A13" s="18" t="s">
        <v>88</v>
      </c>
      <c r="B13" s="18" t="s">
        <v>17</v>
      </c>
      <c r="C13" s="19">
        <v>375.0</v>
      </c>
      <c r="D13" s="19">
        <v>225.0</v>
      </c>
      <c r="E13" s="19">
        <v>525.0</v>
      </c>
      <c r="F13" s="19">
        <v>190.0</v>
      </c>
      <c r="G13" s="19">
        <f t="shared" si="1"/>
        <v>1315</v>
      </c>
      <c r="H13" s="20">
        <f t="shared" si="2"/>
        <v>0.04233059714</v>
      </c>
      <c r="I13" s="21">
        <f t="shared" si="3"/>
        <v>341</v>
      </c>
      <c r="J13" s="21">
        <f t="shared" si="4"/>
        <v>21</v>
      </c>
      <c r="K13" s="19">
        <f t="shared" si="5"/>
        <v>7350</v>
      </c>
      <c r="L13" s="18" t="s">
        <v>246</v>
      </c>
    </row>
    <row r="14">
      <c r="A14" s="22" t="s">
        <v>256</v>
      </c>
      <c r="B14" s="22" t="s">
        <v>92</v>
      </c>
      <c r="C14" s="23">
        <v>375.0</v>
      </c>
      <c r="D14" s="23">
        <v>225.0</v>
      </c>
      <c r="E14" s="23">
        <v>525.0</v>
      </c>
      <c r="F14" s="23">
        <v>190.0</v>
      </c>
      <c r="G14" s="23">
        <f t="shared" si="1"/>
        <v>1315</v>
      </c>
      <c r="H14" s="24">
        <f t="shared" si="2"/>
        <v>0.04233059714</v>
      </c>
      <c r="I14" s="25">
        <f t="shared" si="3"/>
        <v>341</v>
      </c>
      <c r="J14" s="25">
        <f t="shared" si="4"/>
        <v>21</v>
      </c>
      <c r="K14" s="23">
        <f t="shared" si="5"/>
        <v>7350</v>
      </c>
      <c r="L14" s="22" t="s">
        <v>246</v>
      </c>
    </row>
    <row r="15">
      <c r="A15" s="22" t="s">
        <v>257</v>
      </c>
      <c r="B15" s="22" t="s">
        <v>92</v>
      </c>
      <c r="C15" s="23">
        <v>375.0</v>
      </c>
      <c r="D15" s="23">
        <v>225.0</v>
      </c>
      <c r="E15" s="23">
        <v>525.0</v>
      </c>
      <c r="F15" s="23">
        <v>190.0</v>
      </c>
      <c r="G15" s="23">
        <f t="shared" si="1"/>
        <v>1315</v>
      </c>
      <c r="H15" s="24">
        <f t="shared" si="2"/>
        <v>0.04233059714</v>
      </c>
      <c r="I15" s="25">
        <f t="shared" si="3"/>
        <v>341</v>
      </c>
      <c r="J15" s="25">
        <f t="shared" si="4"/>
        <v>21</v>
      </c>
      <c r="K15" s="23">
        <f t="shared" si="5"/>
        <v>7350</v>
      </c>
      <c r="L15" s="22" t="s">
        <v>246</v>
      </c>
    </row>
    <row r="16">
      <c r="A16" s="22" t="s">
        <v>258</v>
      </c>
      <c r="B16" s="22" t="s">
        <v>92</v>
      </c>
      <c r="C16" s="23">
        <v>375.0</v>
      </c>
      <c r="D16" s="23">
        <v>225.0</v>
      </c>
      <c r="E16" s="23">
        <v>525.0</v>
      </c>
      <c r="F16" s="23">
        <v>190.0</v>
      </c>
      <c r="G16" s="23">
        <f t="shared" si="1"/>
        <v>1315</v>
      </c>
      <c r="H16" s="24">
        <f t="shared" si="2"/>
        <v>0.04233059714</v>
      </c>
      <c r="I16" s="25">
        <f t="shared" si="3"/>
        <v>341</v>
      </c>
      <c r="J16" s="25">
        <f t="shared" si="4"/>
        <v>21</v>
      </c>
      <c r="K16" s="23">
        <f t="shared" si="5"/>
        <v>7350</v>
      </c>
      <c r="L16" s="22" t="s">
        <v>246</v>
      </c>
    </row>
    <row r="17">
      <c r="A17" s="22" t="s">
        <v>212</v>
      </c>
      <c r="B17" s="22" t="s">
        <v>92</v>
      </c>
      <c r="C17" s="23">
        <v>250.0</v>
      </c>
      <c r="D17" s="23">
        <v>150.0</v>
      </c>
      <c r="E17" s="23">
        <v>350.0</v>
      </c>
      <c r="F17" s="23">
        <v>125.0</v>
      </c>
      <c r="G17" s="23">
        <f t="shared" si="1"/>
        <v>875</v>
      </c>
      <c r="H17" s="24">
        <f t="shared" si="2"/>
        <v>0.02816674714</v>
      </c>
      <c r="I17" s="25">
        <f t="shared" si="3"/>
        <v>227</v>
      </c>
      <c r="J17" s="25">
        <f t="shared" si="4"/>
        <v>14</v>
      </c>
      <c r="K17" s="23">
        <f t="shared" si="5"/>
        <v>4900</v>
      </c>
      <c r="L17" s="22" t="s">
        <v>246</v>
      </c>
    </row>
    <row r="18">
      <c r="A18" s="22" t="s">
        <v>221</v>
      </c>
      <c r="B18" s="22" t="s">
        <v>92</v>
      </c>
      <c r="C18" s="23">
        <v>250.0</v>
      </c>
      <c r="D18" s="23">
        <v>150.0</v>
      </c>
      <c r="E18" s="23">
        <v>350.0</v>
      </c>
      <c r="F18" s="23">
        <v>125.0</v>
      </c>
      <c r="G18" s="23">
        <f t="shared" si="1"/>
        <v>875</v>
      </c>
      <c r="H18" s="24">
        <f t="shared" si="2"/>
        <v>0.02816674714</v>
      </c>
      <c r="I18" s="25">
        <f t="shared" si="3"/>
        <v>227</v>
      </c>
      <c r="J18" s="25">
        <f t="shared" si="4"/>
        <v>14</v>
      </c>
      <c r="K18" s="23">
        <f t="shared" si="5"/>
        <v>4900</v>
      </c>
      <c r="L18" s="22" t="s">
        <v>255</v>
      </c>
    </row>
    <row r="19">
      <c r="A19" s="22" t="s">
        <v>259</v>
      </c>
      <c r="B19" s="22" t="s">
        <v>92</v>
      </c>
      <c r="C19" s="23">
        <v>250.0</v>
      </c>
      <c r="D19" s="23">
        <v>150.0</v>
      </c>
      <c r="E19" s="23">
        <v>350.0</v>
      </c>
      <c r="F19" s="23">
        <v>125.0</v>
      </c>
      <c r="G19" s="23">
        <f t="shared" si="1"/>
        <v>875</v>
      </c>
      <c r="H19" s="24">
        <f t="shared" si="2"/>
        <v>0.02816674714</v>
      </c>
      <c r="I19" s="25">
        <f t="shared" si="3"/>
        <v>227</v>
      </c>
      <c r="J19" s="25">
        <f t="shared" si="4"/>
        <v>14</v>
      </c>
      <c r="K19" s="23">
        <f t="shared" si="5"/>
        <v>4900</v>
      </c>
      <c r="L19" s="22" t="s">
        <v>255</v>
      </c>
    </row>
    <row r="20">
      <c r="A20" s="26" t="s">
        <v>260</v>
      </c>
      <c r="B20" s="26" t="s">
        <v>149</v>
      </c>
      <c r="C20" s="27">
        <v>250.0</v>
      </c>
      <c r="D20" s="27">
        <v>150.0</v>
      </c>
      <c r="E20" s="27">
        <v>350.0</v>
      </c>
      <c r="F20" s="27">
        <v>125.0</v>
      </c>
      <c r="G20" s="27">
        <f t="shared" si="1"/>
        <v>875</v>
      </c>
      <c r="H20" s="28">
        <f t="shared" si="2"/>
        <v>0.02816674714</v>
      </c>
      <c r="I20" s="29">
        <f t="shared" si="3"/>
        <v>227</v>
      </c>
      <c r="J20" s="29">
        <f t="shared" si="4"/>
        <v>14</v>
      </c>
      <c r="K20" s="27">
        <f t="shared" si="5"/>
        <v>4900</v>
      </c>
      <c r="L20" s="26" t="s">
        <v>246</v>
      </c>
    </row>
    <row r="21" ht="15.75" customHeight="1">
      <c r="A21" s="26" t="s">
        <v>261</v>
      </c>
      <c r="B21" s="26" t="s">
        <v>149</v>
      </c>
      <c r="C21" s="27">
        <v>250.0</v>
      </c>
      <c r="D21" s="27">
        <v>150.0</v>
      </c>
      <c r="E21" s="27">
        <v>350.0</v>
      </c>
      <c r="F21" s="27">
        <v>125.0</v>
      </c>
      <c r="G21" s="27">
        <f t="shared" si="1"/>
        <v>875</v>
      </c>
      <c r="H21" s="28">
        <f t="shared" si="2"/>
        <v>0.02816674714</v>
      </c>
      <c r="I21" s="29">
        <f t="shared" si="3"/>
        <v>227</v>
      </c>
      <c r="J21" s="29">
        <f t="shared" si="4"/>
        <v>14</v>
      </c>
      <c r="K21" s="27">
        <f t="shared" si="5"/>
        <v>4900</v>
      </c>
      <c r="L21" s="26" t="s">
        <v>262</v>
      </c>
    </row>
    <row r="22" ht="15.75" customHeight="1">
      <c r="A22" s="26" t="s">
        <v>263</v>
      </c>
      <c r="B22" s="26" t="s">
        <v>149</v>
      </c>
      <c r="C22" s="27">
        <v>125.0</v>
      </c>
      <c r="D22" s="27">
        <v>75.0</v>
      </c>
      <c r="E22" s="27">
        <v>175.0</v>
      </c>
      <c r="F22" s="27">
        <v>60.0</v>
      </c>
      <c r="G22" s="27">
        <f t="shared" si="1"/>
        <v>435</v>
      </c>
      <c r="H22" s="28">
        <f t="shared" si="2"/>
        <v>0.01400289715</v>
      </c>
      <c r="I22" s="29">
        <f t="shared" si="3"/>
        <v>114</v>
      </c>
      <c r="J22" s="29">
        <f t="shared" si="4"/>
        <v>7</v>
      </c>
      <c r="K22" s="27">
        <f t="shared" si="5"/>
        <v>2450</v>
      </c>
      <c r="L22" s="26" t="s">
        <v>246</v>
      </c>
    </row>
    <row r="23" ht="15.75" customHeight="1">
      <c r="A23" s="30" t="s">
        <v>264</v>
      </c>
      <c r="B23" s="30"/>
      <c r="C23" s="31">
        <f t="shared" ref="C23:G23" si="6">SUM(C5:C22)</f>
        <v>8875</v>
      </c>
      <c r="D23" s="31">
        <f t="shared" si="6"/>
        <v>5325</v>
      </c>
      <c r="E23" s="31">
        <f t="shared" si="6"/>
        <v>12425</v>
      </c>
      <c r="F23" s="31">
        <f t="shared" si="6"/>
        <v>4440</v>
      </c>
      <c r="G23" s="31">
        <f t="shared" si="6"/>
        <v>31065</v>
      </c>
      <c r="H23" s="32">
        <f>G23/G23</f>
        <v>1</v>
      </c>
      <c r="I23" s="33">
        <f t="shared" ref="I23:K23" si="7">SUM(I5:I22)</f>
        <v>8068</v>
      </c>
      <c r="J23" s="33">
        <f t="shared" si="7"/>
        <v>497</v>
      </c>
      <c r="K23" s="31">
        <f t="shared" si="7"/>
        <v>173950</v>
      </c>
      <c r="L23" s="30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A7A4E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0.0"/>
    <col customWidth="1" min="2" max="3" width="10.0"/>
    <col customWidth="1" min="4" max="4" width="18.0"/>
    <col customWidth="1" min="5" max="5" width="12.0"/>
    <col customWidth="1" min="6" max="6" width="16.0"/>
    <col customWidth="1" min="7" max="7" width="14.0"/>
    <col customWidth="1" min="8" max="8" width="16.0"/>
    <col customWidth="1" min="9" max="9" width="12.0"/>
    <col customWidth="1" min="10" max="11" width="18.0"/>
    <col customWidth="1" min="12" max="12" width="16.0"/>
    <col customWidth="1" min="13" max="13" width="18.0"/>
    <col customWidth="1" min="14" max="26" width="8.71"/>
  </cols>
  <sheetData>
    <row r="1">
      <c r="A1" s="11" t="s">
        <v>265</v>
      </c>
    </row>
    <row r="2">
      <c r="A2" s="12" t="s">
        <v>266</v>
      </c>
    </row>
    <row r="4">
      <c r="A4" s="13" t="s">
        <v>1</v>
      </c>
      <c r="B4" s="13" t="s">
        <v>267</v>
      </c>
      <c r="C4" s="13" t="s">
        <v>268</v>
      </c>
      <c r="D4" s="13" t="s">
        <v>269</v>
      </c>
      <c r="E4" s="13" t="s">
        <v>270</v>
      </c>
      <c r="F4" s="13" t="s">
        <v>271</v>
      </c>
      <c r="G4" s="13" t="s">
        <v>272</v>
      </c>
      <c r="H4" s="13" t="s">
        <v>273</v>
      </c>
      <c r="I4" s="13" t="s">
        <v>274</v>
      </c>
      <c r="J4" s="13" t="s">
        <v>275</v>
      </c>
      <c r="K4" s="13" t="s">
        <v>276</v>
      </c>
      <c r="L4" s="13" t="s">
        <v>277</v>
      </c>
      <c r="M4" s="13" t="s">
        <v>278</v>
      </c>
    </row>
    <row r="5">
      <c r="A5" s="34" t="s">
        <v>18</v>
      </c>
      <c r="B5" s="34">
        <v>8.8</v>
      </c>
      <c r="C5" s="34">
        <v>6.4</v>
      </c>
      <c r="D5" s="34" t="s">
        <v>279</v>
      </c>
      <c r="E5" s="34" t="s">
        <v>280</v>
      </c>
      <c r="F5" s="34" t="s">
        <v>281</v>
      </c>
      <c r="G5" s="34">
        <v>53011.0</v>
      </c>
      <c r="H5" s="34">
        <v>5.0</v>
      </c>
      <c r="I5" s="34" t="s">
        <v>282</v>
      </c>
      <c r="J5" s="34">
        <v>850.0</v>
      </c>
      <c r="K5" s="35">
        <f t="shared" ref="K5:K17" si="1">J5*0.0003</f>
        <v>0.255</v>
      </c>
      <c r="L5" s="36">
        <f t="shared" ref="L5:L17" si="2">ROUND(K5*1000000/370,0)</f>
        <v>689</v>
      </c>
      <c r="M5" s="37">
        <f t="shared" ref="M5:M17" si="3">L5*370</f>
        <v>254930</v>
      </c>
    </row>
    <row r="6">
      <c r="A6" s="34" t="s">
        <v>41</v>
      </c>
      <c r="B6" s="34">
        <v>84.4</v>
      </c>
      <c r="C6" s="34">
        <v>63.8</v>
      </c>
      <c r="D6" s="34" t="s">
        <v>283</v>
      </c>
      <c r="E6" s="34" t="s">
        <v>284</v>
      </c>
      <c r="F6" s="34" t="s">
        <v>285</v>
      </c>
      <c r="G6" s="34">
        <v>29510.0</v>
      </c>
      <c r="H6" s="34">
        <v>2.0</v>
      </c>
      <c r="I6" s="34" t="s">
        <v>282</v>
      </c>
      <c r="J6" s="34">
        <v>4200.0</v>
      </c>
      <c r="K6" s="35">
        <f t="shared" si="1"/>
        <v>1.26</v>
      </c>
      <c r="L6" s="36">
        <f t="shared" si="2"/>
        <v>3405</v>
      </c>
      <c r="M6" s="37">
        <f t="shared" si="3"/>
        <v>1259850</v>
      </c>
    </row>
    <row r="7">
      <c r="A7" s="34" t="s">
        <v>34</v>
      </c>
      <c r="B7" s="34">
        <v>5.5</v>
      </c>
      <c r="C7" s="34">
        <v>4.5</v>
      </c>
      <c r="D7" s="34" t="s">
        <v>286</v>
      </c>
      <c r="E7" s="34" t="s">
        <v>287</v>
      </c>
      <c r="F7" s="34" t="s">
        <v>288</v>
      </c>
      <c r="G7" s="34">
        <v>45750.0</v>
      </c>
      <c r="H7" s="34">
        <v>8.0</v>
      </c>
      <c r="I7" s="34" t="s">
        <v>282</v>
      </c>
      <c r="J7" s="34">
        <v>520.0</v>
      </c>
      <c r="K7" s="35">
        <f t="shared" si="1"/>
        <v>0.156</v>
      </c>
      <c r="L7" s="36">
        <f t="shared" si="2"/>
        <v>422</v>
      </c>
      <c r="M7" s="37">
        <f t="shared" si="3"/>
        <v>156140</v>
      </c>
    </row>
    <row r="8">
      <c r="A8" s="34" t="s">
        <v>47</v>
      </c>
      <c r="B8" s="34">
        <v>5.9</v>
      </c>
      <c r="C8" s="34">
        <v>5.2</v>
      </c>
      <c r="D8" s="34" t="s">
        <v>289</v>
      </c>
      <c r="E8" s="34" t="s">
        <v>290</v>
      </c>
      <c r="F8" s="34" t="s">
        <v>291</v>
      </c>
      <c r="G8" s="34">
        <v>35890.0</v>
      </c>
      <c r="H8" s="34">
        <v>9.0</v>
      </c>
      <c r="I8" s="34" t="s">
        <v>282</v>
      </c>
      <c r="J8" s="34">
        <v>480.0</v>
      </c>
      <c r="K8" s="35">
        <f t="shared" si="1"/>
        <v>0.144</v>
      </c>
      <c r="L8" s="36">
        <f t="shared" si="2"/>
        <v>389</v>
      </c>
      <c r="M8" s="37">
        <f t="shared" si="3"/>
        <v>143930</v>
      </c>
    </row>
    <row r="9">
      <c r="A9" s="34" t="s">
        <v>81</v>
      </c>
      <c r="B9" s="34">
        <v>67.7</v>
      </c>
      <c r="C9" s="34">
        <v>55.9</v>
      </c>
      <c r="D9" s="34" t="s">
        <v>292</v>
      </c>
      <c r="E9" s="34" t="s">
        <v>293</v>
      </c>
      <c r="F9" s="34" t="s">
        <v>294</v>
      </c>
      <c r="G9" s="34">
        <v>30486.0</v>
      </c>
      <c r="H9" s="34">
        <v>3.0</v>
      </c>
      <c r="I9" s="34" t="s">
        <v>295</v>
      </c>
      <c r="J9" s="34">
        <v>3800.0</v>
      </c>
      <c r="K9" s="35">
        <f t="shared" si="1"/>
        <v>1.14</v>
      </c>
      <c r="L9" s="36">
        <f t="shared" si="2"/>
        <v>3081</v>
      </c>
      <c r="M9" s="37">
        <f t="shared" si="3"/>
        <v>1139970</v>
      </c>
    </row>
    <row r="10">
      <c r="A10" s="34" t="s">
        <v>93</v>
      </c>
      <c r="B10" s="34">
        <v>10.5</v>
      </c>
      <c r="C10" s="34">
        <v>9.2</v>
      </c>
      <c r="D10" s="34" t="s">
        <v>296</v>
      </c>
      <c r="E10" s="34" t="s">
        <v>287</v>
      </c>
      <c r="F10" s="34" t="s">
        <v>297</v>
      </c>
      <c r="G10" s="34">
        <v>29180.0</v>
      </c>
      <c r="H10" s="34">
        <v>10.0</v>
      </c>
      <c r="I10" s="34" t="s">
        <v>282</v>
      </c>
      <c r="J10" s="34">
        <v>680.0</v>
      </c>
      <c r="K10" s="35">
        <f t="shared" si="1"/>
        <v>0.204</v>
      </c>
      <c r="L10" s="36">
        <f t="shared" si="2"/>
        <v>551</v>
      </c>
      <c r="M10" s="37">
        <f t="shared" si="3"/>
        <v>203870</v>
      </c>
    </row>
    <row r="11">
      <c r="A11" s="34" t="s">
        <v>100</v>
      </c>
      <c r="B11" s="34">
        <v>17.8</v>
      </c>
      <c r="C11" s="34">
        <v>16.4</v>
      </c>
      <c r="D11" s="34" t="s">
        <v>298</v>
      </c>
      <c r="E11" s="34" t="s">
        <v>284</v>
      </c>
      <c r="F11" s="34" t="s">
        <v>299</v>
      </c>
      <c r="G11" s="34">
        <v>28820.0</v>
      </c>
      <c r="H11" s="34">
        <v>7.0</v>
      </c>
      <c r="I11" s="34" t="s">
        <v>295</v>
      </c>
      <c r="J11" s="34">
        <v>780.0</v>
      </c>
      <c r="K11" s="35">
        <f t="shared" si="1"/>
        <v>0.234</v>
      </c>
      <c r="L11" s="36">
        <f t="shared" si="2"/>
        <v>632</v>
      </c>
      <c r="M11" s="37">
        <f t="shared" si="3"/>
        <v>233840</v>
      </c>
    </row>
    <row r="12">
      <c r="A12" s="34" t="s">
        <v>111</v>
      </c>
      <c r="B12" s="34">
        <v>9.1</v>
      </c>
      <c r="C12" s="34">
        <v>5.3</v>
      </c>
      <c r="D12" s="34" t="s">
        <v>300</v>
      </c>
      <c r="E12" s="34" t="s">
        <v>293</v>
      </c>
      <c r="F12" s="34" t="s">
        <v>301</v>
      </c>
      <c r="G12" s="34">
        <v>29280.0</v>
      </c>
      <c r="H12" s="34">
        <v>6.0</v>
      </c>
      <c r="I12" s="34" t="s">
        <v>282</v>
      </c>
      <c r="J12" s="34">
        <v>520.0</v>
      </c>
      <c r="K12" s="35">
        <f t="shared" si="1"/>
        <v>0.156</v>
      </c>
      <c r="L12" s="36">
        <f t="shared" si="2"/>
        <v>422</v>
      </c>
      <c r="M12" s="37">
        <f t="shared" si="3"/>
        <v>156140</v>
      </c>
    </row>
    <row r="13">
      <c r="A13" s="34" t="s">
        <v>128</v>
      </c>
      <c r="B13" s="34">
        <v>5.5</v>
      </c>
      <c r="C13" s="34">
        <v>4.7</v>
      </c>
      <c r="D13" s="34" t="s">
        <v>302</v>
      </c>
      <c r="E13" s="34" t="s">
        <v>284</v>
      </c>
      <c r="F13" s="34" t="s">
        <v>303</v>
      </c>
      <c r="G13" s="34">
        <v>27080.0</v>
      </c>
      <c r="H13" s="34">
        <v>11.0</v>
      </c>
      <c r="I13" s="34" t="s">
        <v>282</v>
      </c>
      <c r="J13" s="34">
        <v>380.0</v>
      </c>
      <c r="K13" s="35">
        <f t="shared" si="1"/>
        <v>0.114</v>
      </c>
      <c r="L13" s="36">
        <f t="shared" si="2"/>
        <v>308</v>
      </c>
      <c r="M13" s="37">
        <f t="shared" si="3"/>
        <v>113960</v>
      </c>
    </row>
    <row r="14">
      <c r="A14" s="34" t="s">
        <v>123</v>
      </c>
      <c r="B14" s="34">
        <v>11.7</v>
      </c>
      <c r="C14" s="34">
        <v>11.4</v>
      </c>
      <c r="D14" s="34" t="s">
        <v>304</v>
      </c>
      <c r="E14" s="34" t="s">
        <v>305</v>
      </c>
      <c r="F14" s="34" t="s">
        <v>306</v>
      </c>
      <c r="G14" s="34">
        <v>24010.0</v>
      </c>
      <c r="H14" s="34">
        <v>12.0</v>
      </c>
      <c r="I14" s="34" t="s">
        <v>295</v>
      </c>
      <c r="J14" s="34">
        <v>420.0</v>
      </c>
      <c r="K14" s="35">
        <f t="shared" si="1"/>
        <v>0.126</v>
      </c>
      <c r="L14" s="36">
        <f t="shared" si="2"/>
        <v>341</v>
      </c>
      <c r="M14" s="37">
        <f t="shared" si="3"/>
        <v>126170</v>
      </c>
    </row>
    <row r="15">
      <c r="A15" s="34" t="s">
        <v>145</v>
      </c>
      <c r="B15" s="34">
        <v>5.1</v>
      </c>
      <c r="C15" s="34">
        <v>3.2</v>
      </c>
      <c r="D15" s="34" t="s">
        <v>307</v>
      </c>
      <c r="E15" s="34" t="s">
        <v>284</v>
      </c>
      <c r="F15" s="34" t="s">
        <v>308</v>
      </c>
      <c r="G15" s="34">
        <v>30205.0</v>
      </c>
      <c r="H15" s="34">
        <v>14.0</v>
      </c>
      <c r="I15" s="34" t="s">
        <v>295</v>
      </c>
      <c r="J15" s="34">
        <v>280.0</v>
      </c>
      <c r="K15" s="35">
        <f t="shared" si="1"/>
        <v>0.084</v>
      </c>
      <c r="L15" s="36">
        <f t="shared" si="2"/>
        <v>227</v>
      </c>
      <c r="M15" s="37">
        <f t="shared" si="3"/>
        <v>83990</v>
      </c>
    </row>
    <row r="16">
      <c r="A16" s="34" t="s">
        <v>139</v>
      </c>
      <c r="B16" s="34">
        <v>0.66</v>
      </c>
      <c r="C16" s="34">
        <v>0.6</v>
      </c>
      <c r="D16" s="34" t="s">
        <v>309</v>
      </c>
      <c r="E16" s="34" t="s">
        <v>287</v>
      </c>
      <c r="F16" s="34" t="s">
        <v>310</v>
      </c>
      <c r="G16" s="34">
        <v>38929.0</v>
      </c>
      <c r="H16" s="34">
        <v>15.0</v>
      </c>
      <c r="I16" s="34" t="s">
        <v>295</v>
      </c>
      <c r="J16" s="34">
        <v>60.0</v>
      </c>
      <c r="K16" s="35">
        <f t="shared" si="1"/>
        <v>0.018</v>
      </c>
      <c r="L16" s="36">
        <f t="shared" si="2"/>
        <v>49</v>
      </c>
      <c r="M16" s="37">
        <f t="shared" si="3"/>
        <v>18130</v>
      </c>
    </row>
    <row r="17">
      <c r="A17" s="34" t="s">
        <v>311</v>
      </c>
      <c r="B17" s="34">
        <v>12.3</v>
      </c>
      <c r="C17" s="34">
        <v>12.3</v>
      </c>
      <c r="D17" s="34" t="s">
        <v>312</v>
      </c>
      <c r="E17" s="34" t="s">
        <v>287</v>
      </c>
      <c r="F17" s="34" t="s">
        <v>313</v>
      </c>
      <c r="G17" s="34">
        <v>24330.0</v>
      </c>
      <c r="H17" s="34">
        <v>4.0</v>
      </c>
      <c r="I17" s="34" t="s">
        <v>295</v>
      </c>
      <c r="J17" s="34">
        <v>1100.0</v>
      </c>
      <c r="K17" s="35">
        <f t="shared" si="1"/>
        <v>0.33</v>
      </c>
      <c r="L17" s="36">
        <f t="shared" si="2"/>
        <v>892</v>
      </c>
      <c r="M17" s="37">
        <f t="shared" si="3"/>
        <v>330040</v>
      </c>
    </row>
    <row r="18">
      <c r="A18" s="30" t="s">
        <v>314</v>
      </c>
      <c r="B18" s="30"/>
      <c r="C18" s="30"/>
      <c r="D18" s="30"/>
      <c r="E18" s="30"/>
      <c r="F18" s="30"/>
      <c r="G18" s="30"/>
      <c r="H18" s="30"/>
      <c r="I18" s="30"/>
      <c r="J18" s="31">
        <f t="shared" ref="J18:M18" si="4">SUM(J5:J17)</f>
        <v>14070</v>
      </c>
      <c r="K18" s="38">
        <f t="shared" si="4"/>
        <v>4.221</v>
      </c>
      <c r="L18" s="33">
        <f t="shared" si="4"/>
        <v>11408</v>
      </c>
      <c r="M18" s="31">
        <f t="shared" si="4"/>
        <v>4220960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03828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8.0"/>
    <col customWidth="1" min="2" max="2" width="10.0"/>
    <col customWidth="1" min="3" max="3" width="42.0"/>
    <col customWidth="1" min="4" max="4" width="12.0"/>
    <col customWidth="1" min="5" max="5" width="55.0"/>
    <col customWidth="1" min="6" max="6" width="10.0"/>
    <col customWidth="1" min="7" max="7" width="8.0"/>
    <col customWidth="1" min="8" max="26" width="8.71"/>
  </cols>
  <sheetData>
    <row r="1">
      <c r="A1" s="11" t="s">
        <v>315</v>
      </c>
    </row>
    <row r="3">
      <c r="A3" s="13" t="s">
        <v>316</v>
      </c>
      <c r="B3" s="13" t="s">
        <v>317</v>
      </c>
      <c r="C3" s="13" t="s">
        <v>318</v>
      </c>
      <c r="D3" s="13" t="s">
        <v>319</v>
      </c>
      <c r="E3" s="13" t="s">
        <v>320</v>
      </c>
      <c r="F3" s="13" t="s">
        <v>321</v>
      </c>
      <c r="G3" s="13" t="s">
        <v>322</v>
      </c>
    </row>
    <row r="4">
      <c r="A4" s="34"/>
      <c r="B4" s="34" t="s">
        <v>323</v>
      </c>
      <c r="C4" s="34" t="s">
        <v>324</v>
      </c>
      <c r="D4" s="34" t="s">
        <v>325</v>
      </c>
      <c r="E4" s="34" t="s">
        <v>326</v>
      </c>
      <c r="F4" s="34" t="s">
        <v>327</v>
      </c>
      <c r="G4" s="34" t="s">
        <v>328</v>
      </c>
    </row>
    <row r="5">
      <c r="A5" s="34"/>
      <c r="B5" s="34" t="s">
        <v>323</v>
      </c>
      <c r="C5" s="34" t="s">
        <v>329</v>
      </c>
      <c r="D5" s="34" t="s">
        <v>330</v>
      </c>
      <c r="E5" s="34" t="s">
        <v>331</v>
      </c>
      <c r="F5" s="34" t="s">
        <v>327</v>
      </c>
      <c r="G5" s="34" t="s">
        <v>328</v>
      </c>
    </row>
    <row r="6">
      <c r="A6" s="34"/>
      <c r="B6" s="34" t="s">
        <v>323</v>
      </c>
      <c r="C6" s="34" t="s">
        <v>332</v>
      </c>
      <c r="D6" s="34" t="s">
        <v>333</v>
      </c>
      <c r="E6" s="34" t="s">
        <v>334</v>
      </c>
      <c r="F6" s="34" t="s">
        <v>327</v>
      </c>
      <c r="G6" s="34" t="s">
        <v>328</v>
      </c>
    </row>
    <row r="7">
      <c r="A7" s="34"/>
      <c r="B7" s="34" t="s">
        <v>323</v>
      </c>
      <c r="C7" s="34" t="s">
        <v>335</v>
      </c>
      <c r="D7" s="34" t="s">
        <v>336</v>
      </c>
      <c r="E7" s="34" t="s">
        <v>337</v>
      </c>
      <c r="F7" s="34" t="s">
        <v>327</v>
      </c>
      <c r="G7" s="34" t="s">
        <v>328</v>
      </c>
    </row>
    <row r="8">
      <c r="A8" s="34"/>
      <c r="B8" s="34" t="s">
        <v>323</v>
      </c>
      <c r="C8" s="34" t="s">
        <v>338</v>
      </c>
      <c r="D8" s="34" t="s">
        <v>339</v>
      </c>
      <c r="E8" s="34" t="s">
        <v>340</v>
      </c>
      <c r="F8" s="34" t="s">
        <v>341</v>
      </c>
      <c r="G8" s="34" t="s">
        <v>328</v>
      </c>
    </row>
    <row r="9">
      <c r="A9" s="34"/>
      <c r="B9" s="34" t="s">
        <v>342</v>
      </c>
      <c r="C9" s="34" t="s">
        <v>343</v>
      </c>
      <c r="D9" s="34" t="s">
        <v>325</v>
      </c>
      <c r="E9" s="34" t="s">
        <v>344</v>
      </c>
      <c r="F9" s="34" t="s">
        <v>327</v>
      </c>
      <c r="G9" s="34" t="s">
        <v>328</v>
      </c>
    </row>
    <row r="10">
      <c r="A10" s="34"/>
      <c r="B10" s="34" t="s">
        <v>342</v>
      </c>
      <c r="C10" s="34" t="s">
        <v>345</v>
      </c>
      <c r="D10" s="34" t="s">
        <v>330</v>
      </c>
      <c r="E10" s="34" t="s">
        <v>346</v>
      </c>
      <c r="F10" s="34" t="s">
        <v>327</v>
      </c>
      <c r="G10" s="34" t="s">
        <v>328</v>
      </c>
    </row>
    <row r="11">
      <c r="A11" s="34"/>
      <c r="B11" s="34" t="s">
        <v>347</v>
      </c>
      <c r="C11" s="34" t="s">
        <v>348</v>
      </c>
      <c r="D11" s="34" t="s">
        <v>349</v>
      </c>
      <c r="E11" s="34" t="s">
        <v>350</v>
      </c>
      <c r="F11" s="34" t="s">
        <v>351</v>
      </c>
      <c r="G11" s="34" t="s">
        <v>328</v>
      </c>
    </row>
    <row r="12">
      <c r="A12" s="34"/>
      <c r="B12" s="34" t="s">
        <v>347</v>
      </c>
      <c r="C12" s="34" t="s">
        <v>352</v>
      </c>
      <c r="D12" s="34" t="s">
        <v>353</v>
      </c>
      <c r="E12" s="34" t="s">
        <v>354</v>
      </c>
      <c r="F12" s="34" t="s">
        <v>327</v>
      </c>
      <c r="G12" s="34" t="s">
        <v>328</v>
      </c>
    </row>
    <row r="13">
      <c r="A13" s="34"/>
      <c r="B13" s="34" t="s">
        <v>355</v>
      </c>
      <c r="C13" s="34" t="s">
        <v>356</v>
      </c>
      <c r="D13" s="34" t="s">
        <v>357</v>
      </c>
      <c r="E13" s="34" t="s">
        <v>358</v>
      </c>
      <c r="F13" s="34" t="s">
        <v>327</v>
      </c>
      <c r="G13" s="34" t="s">
        <v>328</v>
      </c>
    </row>
    <row r="14">
      <c r="A14" s="34"/>
      <c r="B14" s="34" t="s">
        <v>359</v>
      </c>
      <c r="C14" s="34" t="s">
        <v>360</v>
      </c>
      <c r="D14" s="34" t="s">
        <v>325</v>
      </c>
      <c r="E14" s="34" t="s">
        <v>361</v>
      </c>
      <c r="F14" s="34" t="s">
        <v>327</v>
      </c>
      <c r="G14" s="34" t="s">
        <v>328</v>
      </c>
    </row>
    <row r="15">
      <c r="A15" s="34"/>
      <c r="B15" s="34" t="s">
        <v>359</v>
      </c>
      <c r="C15" s="34" t="s">
        <v>362</v>
      </c>
      <c r="D15" s="34" t="s">
        <v>363</v>
      </c>
      <c r="E15" s="34" t="s">
        <v>364</v>
      </c>
      <c r="F15" s="34" t="s">
        <v>327</v>
      </c>
      <c r="G15" s="34" t="s">
        <v>328</v>
      </c>
    </row>
    <row r="16">
      <c r="A16" s="34"/>
      <c r="B16" s="34" t="s">
        <v>365</v>
      </c>
      <c r="C16" s="34" t="s">
        <v>366</v>
      </c>
      <c r="D16" s="34" t="s">
        <v>367</v>
      </c>
      <c r="E16" s="34" t="s">
        <v>368</v>
      </c>
      <c r="F16" s="34" t="s">
        <v>327</v>
      </c>
      <c r="G16" s="34" t="s">
        <v>328</v>
      </c>
    </row>
    <row r="17">
      <c r="A17" s="34"/>
      <c r="B17" s="34" t="s">
        <v>369</v>
      </c>
      <c r="C17" s="34" t="s">
        <v>370</v>
      </c>
      <c r="D17" s="34" t="s">
        <v>333</v>
      </c>
      <c r="E17" s="34" t="s">
        <v>371</v>
      </c>
      <c r="F17" s="34" t="s">
        <v>327</v>
      </c>
      <c r="G17" s="34" t="s">
        <v>328</v>
      </c>
    </row>
    <row r="18">
      <c r="A18" s="34"/>
      <c r="B18" s="34" t="s">
        <v>369</v>
      </c>
      <c r="C18" s="34" t="s">
        <v>372</v>
      </c>
      <c r="D18" s="34" t="s">
        <v>373</v>
      </c>
      <c r="E18" s="34" t="s">
        <v>374</v>
      </c>
      <c r="F18" s="34" t="s">
        <v>327</v>
      </c>
      <c r="G18" s="34" t="s">
        <v>328</v>
      </c>
    </row>
    <row r="19">
      <c r="A19" s="18"/>
      <c r="B19" s="18" t="s">
        <v>375</v>
      </c>
      <c r="C19" s="18" t="s">
        <v>376</v>
      </c>
      <c r="D19" s="18" t="s">
        <v>377</v>
      </c>
      <c r="E19" s="18" t="s">
        <v>378</v>
      </c>
      <c r="F19" s="18" t="s">
        <v>379</v>
      </c>
      <c r="G19" s="18" t="s">
        <v>328</v>
      </c>
    </row>
    <row r="20">
      <c r="A20" s="34"/>
      <c r="B20" s="34" t="s">
        <v>380</v>
      </c>
      <c r="C20" s="34" t="s">
        <v>381</v>
      </c>
      <c r="D20" s="34" t="s">
        <v>373</v>
      </c>
      <c r="E20" s="34" t="s">
        <v>382</v>
      </c>
      <c r="F20" s="34" t="s">
        <v>383</v>
      </c>
      <c r="G20" s="34" t="s">
        <v>328</v>
      </c>
    </row>
    <row r="21" ht="15.75" customHeight="1">
      <c r="A21" s="34"/>
      <c r="B21" s="34" t="s">
        <v>384</v>
      </c>
      <c r="C21" s="34" t="s">
        <v>385</v>
      </c>
      <c r="D21" s="34" t="s">
        <v>386</v>
      </c>
      <c r="E21" s="34" t="s">
        <v>387</v>
      </c>
      <c r="F21" s="34" t="s">
        <v>388</v>
      </c>
      <c r="G21" s="34" t="s">
        <v>386</v>
      </c>
    </row>
    <row r="22" ht="15.75" customHeight="1">
      <c r="A22" s="34"/>
      <c r="B22" s="34" t="s">
        <v>389</v>
      </c>
      <c r="C22" s="34" t="s">
        <v>390</v>
      </c>
      <c r="D22" s="34" t="s">
        <v>377</v>
      </c>
      <c r="E22" s="34" t="s">
        <v>391</v>
      </c>
      <c r="F22" s="34" t="s">
        <v>392</v>
      </c>
      <c r="G22" s="34" t="s">
        <v>328</v>
      </c>
    </row>
    <row r="23" ht="15.75" customHeight="1">
      <c r="A23" s="34"/>
      <c r="B23" s="34" t="s">
        <v>209</v>
      </c>
      <c r="C23" s="34" t="s">
        <v>393</v>
      </c>
      <c r="D23" s="34" t="s">
        <v>377</v>
      </c>
      <c r="E23" s="34" t="s">
        <v>394</v>
      </c>
      <c r="F23" s="34" t="s">
        <v>392</v>
      </c>
      <c r="G23" s="34" t="s">
        <v>328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2026-02-12T03:44:33Z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